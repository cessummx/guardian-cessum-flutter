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2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éame" sheetId="1" state="visible" r:id="rId3"/>
    <sheet name="Supuestos" sheetId="2" state="visible" r:id="rId4"/>
    <sheet name="Proyección" sheetId="3" state="visible" r:id="rId5"/>
    <sheet name="Comparativo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Ancla: agosto 2026, cuenta 0120887013: abonos $640,726.26 (cuadrados al centavo). ~400 alumnos activos × colegiaturas vigentes ≈ $640,000.</t>
        </r>
      </text>
    </comment>
    <comment ref="A8" authorId="0">
      <text>
        <r>
          <rPr>
            <sz val="10"/>
            <rFont val="Arial"/>
            <family val="2"/>
          </rPr>
          <t xml:space="preserve">Formulario de inscripción de Licenciatura (8 registros).</t>
        </r>
      </text>
    </comment>
    <comment ref="A9" authorId="0">
      <text>
        <r>
          <rPr>
            <sz val="10"/>
            <rFont val="Arial"/>
            <family val="2"/>
          </rPr>
          <t xml:space="preserve">Hoja PlanPagos: Licenciatura en Pedagogía, Mixta, 26-3.</t>
        </r>
      </text>
    </comment>
    <comment ref="A10" authorId="0">
      <text>
        <r>
          <rPr>
            <sz val="10"/>
            <rFont val="Arial"/>
            <family val="2"/>
          </rPr>
          <t xml:space="preserve">Histórico: ~60 por periodo con publicidad en Sonora. Pesimista considera las fugas del embudo del 21-sep.</t>
        </r>
      </text>
    </comment>
    <comment ref="A11" authorId="0">
      <text>
        <r>
          <rPr>
            <sz val="10"/>
            <rFont val="Arial"/>
            <family val="2"/>
          </rPr>
          <t xml:space="preserve">Convocatoria 26-4: $2,850 × 12 pagos.</t>
        </r>
      </text>
    </comment>
    <comment ref="A12" authorId="0">
      <text>
        <r>
          <rPr>
            <sz val="10"/>
            <rFont val="Arial"/>
            <family val="2"/>
          </rPr>
          <t xml:space="preserve">Convocatoria: $450.</t>
        </r>
      </text>
    </comment>
    <comment ref="A13" authorId="0">
      <text>
        <r>
          <rPr>
            <sz val="10"/>
            <rFont val="Arial"/>
            <family val="2"/>
          </rPr>
          <t xml:space="preserve">Convocatoria: $350.</t>
        </r>
      </text>
    </comment>
    <comment ref="A14" authorId="0">
      <text>
        <r>
          <rPr>
            <sz val="10"/>
            <rFont val="Arial"/>
            <family val="2"/>
          </rPr>
          <t xml:space="preserve">Graduación 2026: 135 egresados en la lista. No todos pagaban hasta diciembre; el base supone 110.</t>
        </r>
      </text>
    </comment>
    <comment ref="A15" authorId="0">
      <text>
        <r>
          <rPr>
            <sz val="10"/>
            <rFont val="Arial"/>
            <family val="2"/>
          </rPr>
          <t xml:space="preserve">Mezcla de $1,350 (maestrías), $1,650 (doctorados) y $2,550 (Maestría en Educación 26-1).</t>
        </r>
      </text>
    </comment>
    <comment ref="A16" authorId="0">
      <text>
        <r>
          <rPr>
            <sz val="10"/>
            <rFont val="Arial"/>
            <family val="2"/>
          </rPr>
          <t xml:space="preserve">Referencia: el ciclo 26-2/26-3 cerró con 120 inscritos en 6 programas.</t>
        </r>
      </text>
    </comment>
    <comment ref="A17" authorId="0">
      <text>
        <r>
          <rPr>
            <sz val="10"/>
            <rFont val="Arial"/>
            <family val="2"/>
          </rPr>
          <t xml:space="preserve">Mezcla de $1,350 (maestrías) y $1,650 (doctorados).</t>
        </r>
      </text>
    </comment>
    <comment ref="A18" authorId="0">
      <text>
        <r>
          <rPr>
            <sz val="10"/>
            <rFont val="Arial"/>
            <family val="2"/>
          </rPr>
          <t xml:space="preserve">Supuesto: programas semestrales en curso.</t>
        </r>
      </text>
    </comment>
    <comment ref="A19" authorId="0">
      <text>
        <r>
          <rPr>
            <sz val="10"/>
            <rFont val="Arial"/>
            <family val="2"/>
          </rPr>
          <t xml:space="preserve">Lista de graduación 2026.</t>
        </r>
      </text>
    </comment>
    <comment ref="A20" authorId="0">
      <text>
        <r>
          <rPr>
            <sz val="10"/>
            <rFont val="Arial"/>
            <family val="2"/>
          </rPr>
          <t xml:space="preserve">Supuesto.</t>
        </r>
      </text>
    </comment>
    <comment ref="A21" authorId="0">
      <text>
        <r>
          <rPr>
            <sz val="10"/>
            <rFont val="Arial"/>
            <family val="2"/>
          </rPr>
          <t xml:space="preserve">Flyers: maestrías $7,000–$10,000; doctorados $12,000–$15,000.</t>
        </r>
      </text>
    </comment>
    <comment ref="A22" authorId="0">
      <text>
        <r>
          <rPr>
            <sz val="10"/>
            <rFont val="Arial"/>
            <family val="2"/>
          </rPr>
          <t xml:space="preserve">Enero a agosto de 2027.</t>
        </r>
      </text>
    </comment>
    <comment ref="A23" authorId="0">
      <text>
        <r>
          <rPr>
            <sz val="10"/>
            <rFont val="Arial"/>
            <family val="2"/>
          </rPr>
          <t xml:space="preserve">Ancla: agosto 2026, cuenta 0120887013: cargos $385,912.83. SOLO una de las dos cuentas.</t>
        </r>
      </text>
    </comment>
    <comment ref="A24" authorId="0">
      <text>
        <r>
          <rPr>
            <sz val="10"/>
            <rFont val="Arial"/>
            <family val="2"/>
          </rPr>
          <t xml:space="preserve">CAPTURE el saldo real. Con 0, el saldo proyectado equivale al flujo acumulado.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2" authorId="0">
      <text>
        <r>
          <rPr>
            <sz val="10"/>
            <rFont val="Arial"/>
            <family val="2"/>
          </rPr>
          <t xml:space="preserve">Ejemplo: capture en dic 26 el costo de la ceremonia de graduación en el RIVI y los aguinaldos. No están en la proyección porque no hay dato.</t>
        </r>
      </text>
    </comment>
  </commentList>
</comments>
</file>

<file path=xl/sharedStrings.xml><?xml version="1.0" encoding="utf-8"?>
<sst xmlns="http://schemas.openxmlformats.org/spreadsheetml/2006/main" count="139" uniqueCount="119">
  <si>
    <t xml:space="preserve">Proyección de recursos · CESSUM</t>
  </si>
  <si>
    <t xml:space="preserve">Preparada el 23 de septiembre de 2026 para Vicerrectoría y Administración y Finanzas.</t>
  </si>
  <si>
    <t xml:space="preserve">CÓMO SE USA</t>
  </si>
  <si>
    <t xml:space="preserve">1. En «Supuestos», cambie cualquier celda azul con fondo amarillo. Todo se recalcula.</t>
  </si>
  <si>
    <t xml:space="preserve">2. En «Supuestos!B4» elija el escenario que se proyecta: 1 Pesimista, 2 Base, 3 Optimista.</t>
  </si>
  <si>
    <t xml:space="preserve">3. Capture el saldo inicial real de las DOS cuentas al 1 de septiembre de 2026 (Supuestos, último renglón).</t>
  </si>
  <si>
    <t xml:space="preserve">4. En «Proyección», capture los gastos extraordinarios de cada mes (graduación, aguinaldos, impuestos).</t>
  </si>
  <si>
    <t xml:space="preserve">5. «Comparativo» muestra los tres escenarios a la vez y comprueba que cuadren con la Proyección.</t>
  </si>
  <si>
    <t xml:space="preserve">DE DÓNDE SALEN LOS NÚMEROS</t>
  </si>
  <si>
    <t xml:space="preserve">· Agosto 2026, cuenta BBVA 0120887013, leído y cuadrado al centavo: abonos $640,726.26 y cargos $385,912.83.</t>
  </si>
  <si>
    <t xml:space="preserve">· Unos 400 alumnos activos en el ciclo 2026-2027 × colegiaturas vigentes (hoja PlanPagos del Guardián) ≈ $640,000 al mes.</t>
  </si>
  <si>
    <t xml:space="preserve">· Precios: convocatoria de posgrado 26-4/27-1 y hoja PlanPagos. Titulación: flyers vigentes.</t>
  </si>
  <si>
    <t xml:space="preserve">· Graduación 2026: 135 egresados. Ciclo 26-2/26-3: 120 inscritos en 6 programas. Maestría en Educación: ~60 por periodo.</t>
  </si>
  <si>
    <t xml:space="preserve">LO QUE NO INCLUYE (no hay dato todavía)</t>
  </si>
  <si>
    <t xml:space="preserve">· La segunda cuenta BBVA (0120887986). Si parte del gasto sale de ahí, el flujo real es menor.</t>
  </si>
  <si>
    <t xml:space="preserve">· Costo de la ceremonia de graduación, aguinaldos, impuestos: captúrelos como gastos extraordinarios.</t>
  </si>
  <si>
    <t xml:space="preserve">· Honorarios de los grupos nuevos de 26-4 y 27-1 (y lo que se deja de pagar a los grupos que egresan).</t>
  </si>
  <si>
    <t xml:space="preserve">· Morosidad: el escenario pesimista la refleja con colegiaturas más bajas; la cobranza real está en la app.</t>
  </si>
  <si>
    <t xml:space="preserve">Cuando la app cargue los 37 meses de las dos cuentas, la pestaña Proyección de Finanzas da el pronóstico con datos reales y banda de confianza del 95 %.</t>
  </si>
  <si>
    <t xml:space="preserve">Proyección de recursos CESSUM · Supuestos</t>
  </si>
  <si>
    <t xml:space="preserve">Azul con fondo amarillo = dato editable. Cambie cualquiera y todo el libro se recalcula.</t>
  </si>
  <si>
    <t xml:space="preserve">Escenario activo (1 = Pesimista, 2 = Base, 3 = Optimista)</t>
  </si>
  <si>
    <t xml:space="preserve">Supuesto</t>
  </si>
  <si>
    <t xml:space="preserve">Unidad</t>
  </si>
  <si>
    <t xml:space="preserve">Pesimista</t>
  </si>
  <si>
    <t xml:space="preserve">Base</t>
  </si>
  <si>
    <t xml:space="preserve">Optimista</t>
  </si>
  <si>
    <t xml:space="preserve">En uso</t>
  </si>
  <si>
    <t xml:space="preserve">Colegiaturas mensuales de los alumnos actuales</t>
  </si>
  <si>
    <t xml:space="preserve">$ al mes</t>
  </si>
  <si>
    <t xml:space="preserve">Alumnos de Licenciatura 26-3</t>
  </si>
  <si>
    <t xml:space="preserve">alumnos</t>
  </si>
  <si>
    <t xml:space="preserve">Colegiatura Licenciatura</t>
  </si>
  <si>
    <t xml:space="preserve">Inscritos Maestría en Educación 26-4 (inicia 5-oct-2026)</t>
  </si>
  <si>
    <t xml:space="preserve">Colegiatura Maestría en Educación 26-4</t>
  </si>
  <si>
    <t xml:space="preserve">Inscripción</t>
  </si>
  <si>
    <t xml:space="preserve">$ única</t>
  </si>
  <si>
    <t xml:space="preserve">Reinscripción</t>
  </si>
  <si>
    <t xml:space="preserve">$ por periodo</t>
  </si>
  <si>
    <t xml:space="preserve">Egresados que dejan de pagar desde enero 2027</t>
  </si>
  <si>
    <t xml:space="preserve">Cuota mensual promedio que dejan de pagar</t>
  </si>
  <si>
    <t xml:space="preserve">Inscritos posgrados 27-1 (inicia 11-ene-2027)</t>
  </si>
  <si>
    <t xml:space="preserve">Colegiatura promedio 27-1</t>
  </si>
  <si>
    <t xml:space="preserve">Alumnos que continúan y se reinscriben (enero y julio)</t>
  </si>
  <si>
    <t xml:space="preserve">Egresados que pueden titularse</t>
  </si>
  <si>
    <t xml:space="preserve">Porcentaje que se titula en los 12 meses</t>
  </si>
  <si>
    <t xml:space="preserve">%</t>
  </si>
  <si>
    <t xml:space="preserve">Costo promedio de titulación</t>
  </si>
  <si>
    <t xml:space="preserve">$</t>
  </si>
  <si>
    <t xml:space="preserve">Meses en que se reparten las titulaciones (desde enero)</t>
  </si>
  <si>
    <t xml:space="preserve">meses</t>
  </si>
  <si>
    <t xml:space="preserve">Egreso mensual base</t>
  </si>
  <si>
    <t xml:space="preserve">Saldo inicial al 1 de septiembre de 2026 (las dos cuentas)</t>
  </si>
  <si>
    <t xml:space="preserve">Proyección mensual · septiembre 2026 a agosto 2027</t>
  </si>
  <si>
    <t xml:space="preserve">Concepto</t>
  </si>
  <si>
    <t xml:space="preserve">Nota</t>
  </si>
  <si>
    <t xml:space="preserve">sep 26</t>
  </si>
  <si>
    <t xml:space="preserve">oct 26</t>
  </si>
  <si>
    <t xml:space="preserve">nov 26</t>
  </si>
  <si>
    <t xml:space="preserve">dic 26</t>
  </si>
  <si>
    <t xml:space="preserve">ene 27</t>
  </si>
  <si>
    <t xml:space="preserve">feb 27</t>
  </si>
  <si>
    <t xml:space="preserve">mar 27</t>
  </si>
  <si>
    <t xml:space="preserve">abr 27</t>
  </si>
  <si>
    <t xml:space="preserve">may 27</t>
  </si>
  <si>
    <t xml:space="preserve">jun 27</t>
  </si>
  <si>
    <t xml:space="preserve">jul 27</t>
  </si>
  <si>
    <t xml:space="preserve">ago 27</t>
  </si>
  <si>
    <t xml:space="preserve">Total 12 meses</t>
  </si>
  <si>
    <t xml:space="preserve">Mes número</t>
  </si>
  <si>
    <t xml:space="preserve">INGRESOS</t>
  </si>
  <si>
    <t xml:space="preserve">Colegiaturas de alumnos actuales</t>
  </si>
  <si>
    <t xml:space="preserve">Desde septiembre</t>
  </si>
  <si>
    <t xml:space="preserve">Licenciatura 26-3</t>
  </si>
  <si>
    <t xml:space="preserve">Alumnos × colegiatura</t>
  </si>
  <si>
    <t xml:space="preserve">Inscripción Maestría en Educación 26-4</t>
  </si>
  <si>
    <t xml:space="preserve">Mitad en sep, mitad en oct</t>
  </si>
  <si>
    <t xml:space="preserve">Colegiaturas Maestría en Educación 26-4</t>
  </si>
  <si>
    <t xml:space="preserve">Desde octubre</t>
  </si>
  <si>
    <t xml:space="preserve">Reinscripción 26-4 (trimestral)</t>
  </si>
  <si>
    <t xml:space="preserve">Enero, abril y julio</t>
  </si>
  <si>
    <t xml:space="preserve">Egresados que dejan de pagar</t>
  </si>
  <si>
    <t xml:space="preserve">Desde enero (resta)</t>
  </si>
  <si>
    <t xml:space="preserve">Inscripción posgrados 27-1</t>
  </si>
  <si>
    <t xml:space="preserve">Mitad en dic, mitad en ene</t>
  </si>
  <si>
    <t xml:space="preserve">Colegiaturas posgrados 27-1</t>
  </si>
  <si>
    <t xml:space="preserve">Desde enero</t>
  </si>
  <si>
    <t xml:space="preserve">Reinscripción 27-1 (semestral)</t>
  </si>
  <si>
    <t xml:space="preserve">Julio</t>
  </si>
  <si>
    <t xml:space="preserve">Reinscripción de alumnos que continúan</t>
  </si>
  <si>
    <t xml:space="preserve">Enero y julio</t>
  </si>
  <si>
    <t xml:space="preserve">Titulación de egresados</t>
  </si>
  <si>
    <t xml:space="preserve">Repartida desde enero</t>
  </si>
  <si>
    <t xml:space="preserve">Total de ingresos</t>
  </si>
  <si>
    <t xml:space="preserve">EGRESOS</t>
  </si>
  <si>
    <t xml:space="preserve">Supuestos</t>
  </si>
  <si>
    <t xml:space="preserve">Gastos extraordinarios (capture aquí)</t>
  </si>
  <si>
    <t xml:space="preserve">Graduación, aguinaldos, impuestos…</t>
  </si>
  <si>
    <t xml:space="preserve">Total de egresos</t>
  </si>
  <si>
    <t xml:space="preserve">Flujo del mes</t>
  </si>
  <si>
    <t xml:space="preserve">Flujo acumulado</t>
  </si>
  <si>
    <t xml:space="preserve">Saldo proyectado</t>
  </si>
  <si>
    <t xml:space="preserve">Saldo inicial + acumulado</t>
  </si>
  <si>
    <t xml:space="preserve">Meses de operación que cubre el saldo</t>
  </si>
  <si>
    <t xml:space="preserve">Saldo ÷ egresos del mes</t>
  </si>
  <si>
    <t xml:space="preserve">Los tres escenarios a 12 meses</t>
  </si>
  <si>
    <t xml:space="preserve">Se calcula aparte de la hoja Proyección (que muestra solo el escenario en uso) y se comprueba contra ella.</t>
  </si>
  <si>
    <t xml:space="preserve">Maestría en Educación 26-4 (inscripción, 11 colegiaturas y 3 reinscripciones)</t>
  </si>
  <si>
    <t xml:space="preserve">Egresados que dejan de pagar (8 meses)</t>
  </si>
  <si>
    <t xml:space="preserve">Posgrados 27-1 (inscripción, 8 colegiaturas y 1 reinscripción)</t>
  </si>
  <si>
    <t xml:space="preserve">Titulación</t>
  </si>
  <si>
    <t xml:space="preserve">Total de egresos (sin extraordinarios)</t>
  </si>
  <si>
    <t xml:space="preserve">Flujo acumulado a 12 meses</t>
  </si>
  <si>
    <t xml:space="preserve">Margen</t>
  </si>
  <si>
    <t xml:space="preserve">Comprobación: ingresos del escenario en uso (Comparativo − Proyección, debe dar 0)</t>
  </si>
  <si>
    <t xml:space="preserve">Cuánto vale cada alumno en 12 meses</t>
  </si>
  <si>
    <t xml:space="preserve">Uno más de Maestría en Educación 26-4</t>
  </si>
  <si>
    <t xml:space="preserve">Uno más de posgrado 27-1</t>
  </si>
  <si>
    <t xml:space="preserve">Un egresado menos que deja de pagar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</si>
</sst>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#,##0;\(#,##0\);\-"/>
    <numFmt numFmtId="167" formatCode="0.0%"/>
    <numFmt numFmtId="168" formatCode="0.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B11D29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666666"/>
      <name val="Arial"/>
      <family val="0"/>
      <charset val="1"/>
    </font>
    <font>
      <sz val="10"/>
      <name val="Arial"/>
      <family val="2"/>
    </font>
    <font>
      <i val="true"/>
      <sz val="11"/>
      <color rgb="FF008000"/>
      <name val="Arial"/>
      <family val="0"/>
      <charset val="1"/>
    </font>
    <font>
      <sz val="11"/>
      <color rgb="FF999999"/>
      <name val="Arial"/>
      <family val="0"/>
      <charset val="1"/>
    </font>
    <font>
      <sz val="9"/>
      <color rgb="FF888888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11D29"/>
        <bgColor rgb="FF99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888888"/>
      <rgbColor rgb="FFBE4B48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B11D2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Ingresos, egresos y saldo proyectado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"Ingresos"</c:f>
              <c:strCache>
                <c:ptCount val="1"/>
                <c:pt idx="0">
                  <c:v>Ingresos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Proyección!$C$4:$N$4</c:f>
              <c:multiLvlStrCache>
                <c:ptCount val="1"/>
                <c:lvl>
                  <c:pt idx="0">
                    <c:v>ago 27</c:v>
                  </c:pt>
                </c:lvl>
                <c:lvl>
                  <c:pt idx="0">
                    <c:v>jul 27</c:v>
                  </c:pt>
                </c:lvl>
                <c:lvl>
                  <c:pt idx="0">
                    <c:v>jun 27</c:v>
                  </c:pt>
                </c:lvl>
                <c:lvl>
                  <c:pt idx="0">
                    <c:v>may 27</c:v>
                  </c:pt>
                </c:lvl>
                <c:lvl>
                  <c:pt idx="0">
                    <c:v>abr 27</c:v>
                  </c:pt>
                </c:lvl>
                <c:lvl>
                  <c:pt idx="0">
                    <c:v>mar 27</c:v>
                  </c:pt>
                </c:lvl>
                <c:lvl>
                  <c:pt idx="0">
                    <c:v>feb 27</c:v>
                  </c:pt>
                </c:lvl>
                <c:lvl>
                  <c:pt idx="0">
                    <c:v>ene 27</c:v>
                  </c:pt>
                </c:lvl>
                <c:lvl>
                  <c:pt idx="0">
                    <c:v>dic 26</c:v>
                  </c:pt>
                </c:lvl>
                <c:lvl>
                  <c:pt idx="0">
                    <c:v>nov 26</c:v>
                  </c:pt>
                </c:lvl>
                <c:lvl>
                  <c:pt idx="0">
                    <c:v>oct 26</c:v>
                  </c:pt>
                </c:lvl>
                <c:lvl>
                  <c:pt idx="0">
                    <c:v>sep 26</c:v>
                  </c:pt>
                </c:lvl>
              </c:multiLvlStrCache>
            </c:multiLvlStrRef>
          </c:cat>
          <c:val>
            <c:numRef>
              <c:f>Proyección!$C$18:$N$18</c:f>
              <c:numCache>
                <c:formatCode>\$#,##0;"($"#,##0\);\-</c:formatCode>
                <c:ptCount val="12"/>
                <c:pt idx="0">
                  <c:v>624925</c:v>
                </c:pt>
                <c:pt idx="1">
                  <c:v>753175</c:v>
                </c:pt>
                <c:pt idx="2">
                  <c:v>743050</c:v>
                </c:pt>
                <c:pt idx="3">
                  <c:v>767800</c:v>
                </c:pt>
                <c:pt idx="4">
                  <c:v>858300</c:v>
                </c:pt>
                <c:pt idx="5">
                  <c:v>765300</c:v>
                </c:pt>
                <c:pt idx="6">
                  <c:v>765300</c:v>
                </c:pt>
                <c:pt idx="7">
                  <c:v>781050</c:v>
                </c:pt>
                <c:pt idx="8">
                  <c:v>765300</c:v>
                </c:pt>
                <c:pt idx="9">
                  <c:v>765300</c:v>
                </c:pt>
                <c:pt idx="10">
                  <c:v>872050</c:v>
                </c:pt>
                <c:pt idx="11">
                  <c:v>765300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"Egresos"</c:f>
              <c:strCache>
                <c:ptCount val="1"/>
                <c:pt idx="0">
                  <c:v>Egresos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Proyección!$C$4:$N$4</c:f>
              <c:multiLvlStrCache>
                <c:ptCount val="1"/>
                <c:lvl>
                  <c:pt idx="0">
                    <c:v>ago 27</c:v>
                  </c:pt>
                </c:lvl>
                <c:lvl>
                  <c:pt idx="0">
                    <c:v>jul 27</c:v>
                  </c:pt>
                </c:lvl>
                <c:lvl>
                  <c:pt idx="0">
                    <c:v>jun 27</c:v>
                  </c:pt>
                </c:lvl>
                <c:lvl>
                  <c:pt idx="0">
                    <c:v>may 27</c:v>
                  </c:pt>
                </c:lvl>
                <c:lvl>
                  <c:pt idx="0">
                    <c:v>abr 27</c:v>
                  </c:pt>
                </c:lvl>
                <c:lvl>
                  <c:pt idx="0">
                    <c:v>mar 27</c:v>
                  </c:pt>
                </c:lvl>
                <c:lvl>
                  <c:pt idx="0">
                    <c:v>feb 27</c:v>
                  </c:pt>
                </c:lvl>
                <c:lvl>
                  <c:pt idx="0">
                    <c:v>ene 27</c:v>
                  </c:pt>
                </c:lvl>
                <c:lvl>
                  <c:pt idx="0">
                    <c:v>dic 26</c:v>
                  </c:pt>
                </c:lvl>
                <c:lvl>
                  <c:pt idx="0">
                    <c:v>nov 26</c:v>
                  </c:pt>
                </c:lvl>
                <c:lvl>
                  <c:pt idx="0">
                    <c:v>oct 26</c:v>
                  </c:pt>
                </c:lvl>
                <c:lvl>
                  <c:pt idx="0">
                    <c:v>sep 26</c:v>
                  </c:pt>
                </c:lvl>
              </c:multiLvlStrCache>
            </c:multiLvlStrRef>
          </c:cat>
          <c:val>
            <c:numRef>
              <c:f>Proyección!$C$23:$N$23</c:f>
              <c:numCache>
                <c:formatCode>\$#,##0;"($"#,##0\);\-</c:formatCode>
                <c:ptCount val="12"/>
                <c:pt idx="0">
                  <c:v>390000</c:v>
                </c:pt>
                <c:pt idx="1">
                  <c:v>390000</c:v>
                </c:pt>
                <c:pt idx="2">
                  <c:v>390000</c:v>
                </c:pt>
                <c:pt idx="3">
                  <c:v>390000</c:v>
                </c:pt>
                <c:pt idx="4">
                  <c:v>390000</c:v>
                </c:pt>
                <c:pt idx="5">
                  <c:v>390000</c:v>
                </c:pt>
                <c:pt idx="6">
                  <c:v>390000</c:v>
                </c:pt>
                <c:pt idx="7">
                  <c:v>390000</c:v>
                </c:pt>
                <c:pt idx="8">
                  <c:v>390000</c:v>
                </c:pt>
                <c:pt idx="9">
                  <c:v>390000</c:v>
                </c:pt>
                <c:pt idx="10">
                  <c:v>390000</c:v>
                </c:pt>
                <c:pt idx="11">
                  <c:v>390000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"Saldo proyectado"</c:f>
              <c:strCache>
                <c:ptCount val="1"/>
                <c:pt idx="0">
                  <c:v>Saldo proyectado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Proyección!$C$4:$N$4</c:f>
              <c:multiLvlStrCache>
                <c:ptCount val="1"/>
                <c:lvl>
                  <c:pt idx="0">
                    <c:v>ago 27</c:v>
                  </c:pt>
                </c:lvl>
                <c:lvl>
                  <c:pt idx="0">
                    <c:v>jul 27</c:v>
                  </c:pt>
                </c:lvl>
                <c:lvl>
                  <c:pt idx="0">
                    <c:v>jun 27</c:v>
                  </c:pt>
                </c:lvl>
                <c:lvl>
                  <c:pt idx="0">
                    <c:v>may 27</c:v>
                  </c:pt>
                </c:lvl>
                <c:lvl>
                  <c:pt idx="0">
                    <c:v>abr 27</c:v>
                  </c:pt>
                </c:lvl>
                <c:lvl>
                  <c:pt idx="0">
                    <c:v>mar 27</c:v>
                  </c:pt>
                </c:lvl>
                <c:lvl>
                  <c:pt idx="0">
                    <c:v>feb 27</c:v>
                  </c:pt>
                </c:lvl>
                <c:lvl>
                  <c:pt idx="0">
                    <c:v>ene 27</c:v>
                  </c:pt>
                </c:lvl>
                <c:lvl>
                  <c:pt idx="0">
                    <c:v>dic 26</c:v>
                  </c:pt>
                </c:lvl>
                <c:lvl>
                  <c:pt idx="0">
                    <c:v>nov 26</c:v>
                  </c:pt>
                </c:lvl>
                <c:lvl>
                  <c:pt idx="0">
                    <c:v>oct 26</c:v>
                  </c:pt>
                </c:lvl>
                <c:lvl>
                  <c:pt idx="0">
                    <c:v>sep 26</c:v>
                  </c:pt>
                </c:lvl>
              </c:multiLvlStrCache>
            </c:multiLvlStrRef>
          </c:cat>
          <c:val>
            <c:numRef>
              <c:f>Proyección!$C$27:$N$27</c:f>
              <c:numCache>
                <c:formatCode>\$#,##0;"($"#,##0\);\-</c:formatCode>
                <c:ptCount val="12"/>
                <c:pt idx="0">
                  <c:v>234925</c:v>
                </c:pt>
                <c:pt idx="1">
                  <c:v>598100</c:v>
                </c:pt>
                <c:pt idx="2">
                  <c:v>951150</c:v>
                </c:pt>
                <c:pt idx="3">
                  <c:v>1328950</c:v>
                </c:pt>
                <c:pt idx="4">
                  <c:v>1797250</c:v>
                </c:pt>
                <c:pt idx="5">
                  <c:v>2172550</c:v>
                </c:pt>
                <c:pt idx="6">
                  <c:v>2547850</c:v>
                </c:pt>
                <c:pt idx="7">
                  <c:v>2938900</c:v>
                </c:pt>
                <c:pt idx="8">
                  <c:v>3314200</c:v>
                </c:pt>
                <c:pt idx="9">
                  <c:v>3689500</c:v>
                </c:pt>
                <c:pt idx="10">
                  <c:v>4171550</c:v>
                </c:pt>
                <c:pt idx="11">
                  <c:v>4546850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2890191"/>
        <c:axId val="37137685"/>
      </c:lineChart>
      <c:catAx>
        <c:axId val="6289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137685"/>
        <c:crosses val="autoZero"/>
        <c:auto val="1"/>
        <c:lblAlgn val="ctr"/>
        <c:lblOffset val="100"/>
        <c:noMultiLvlLbl val="0"/>
      </c:catAx>
      <c:valAx>
        <c:axId val="371376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Pesos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89019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29</xdr:row>
      <xdr:rowOff>160560</xdr:rowOff>
    </xdr:from>
    <xdr:to>
      <xdr:col>6</xdr:col>
      <xdr:colOff>604440</xdr:colOff>
      <xdr:row>46</xdr:row>
      <xdr:rowOff>161640</xdr:rowOff>
    </xdr:to>
    <xdr:graphicFrame>
      <xdr:nvGraphicFramePr>
        <xdr:cNvPr id="0" name="Chart 1"/>
        <xdr:cNvGraphicFramePr/>
      </xdr:nvGraphicFramePr>
      <xdr:xfrm>
        <a:off x="0" y="5715000"/>
        <a:ext cx="86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4"/>
    <col collapsed="false" customWidth="true" hidden="false" outlineLevel="0" max="6" min="3" style="0" width="15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4" t="s">
        <v>20</v>
      </c>
    </row>
    <row r="4" customFormat="false" ht="15" hidden="false" customHeight="false" outlineLevel="0" collapsed="false">
      <c r="A4" s="3" t="s">
        <v>21</v>
      </c>
      <c r="B4" s="5" t="n">
        <v>2</v>
      </c>
      <c r="C4" s="2" t="str">
        <f aca="false">INDEX(C6:E6,1,$B$4)</f>
        <v>Base</v>
      </c>
    </row>
    <row r="6" customFormat="false" ht="15" hidden="false" customHeight="false" outlineLevel="0" collapsed="false">
      <c r="A6" s="6" t="s">
        <v>22</v>
      </c>
      <c r="B6" s="6" t="s">
        <v>23</v>
      </c>
      <c r="C6" s="6" t="s">
        <v>24</v>
      </c>
      <c r="D6" s="6" t="s">
        <v>25</v>
      </c>
      <c r="E6" s="6" t="s">
        <v>26</v>
      </c>
      <c r="F6" s="6" t="s">
        <v>27</v>
      </c>
    </row>
    <row r="7" customFormat="false" ht="15" hidden="false" customHeight="false" outlineLevel="0" collapsed="false">
      <c r="A7" s="7" t="s">
        <v>28</v>
      </c>
      <c r="B7" s="8" t="s">
        <v>29</v>
      </c>
      <c r="C7" s="9" t="n">
        <v>560000</v>
      </c>
      <c r="D7" s="9" t="n">
        <v>600000</v>
      </c>
      <c r="E7" s="9" t="n">
        <v>630000</v>
      </c>
      <c r="F7" s="10" t="n">
        <f aca="false">INDEX(C7:E7,1,$B$4)</f>
        <v>600000</v>
      </c>
    </row>
    <row r="8" customFormat="false" ht="15" hidden="false" customHeight="false" outlineLevel="0" collapsed="false">
      <c r="A8" s="7" t="s">
        <v>30</v>
      </c>
      <c r="B8" s="8" t="s">
        <v>31</v>
      </c>
      <c r="C8" s="11" t="n">
        <v>8</v>
      </c>
      <c r="D8" s="11" t="n">
        <v>8</v>
      </c>
      <c r="E8" s="11" t="n">
        <v>8</v>
      </c>
      <c r="F8" s="12" t="n">
        <f aca="false">INDEX(C8:E8,1,$B$4)</f>
        <v>8</v>
      </c>
    </row>
    <row r="9" customFormat="false" ht="15" hidden="false" customHeight="false" outlineLevel="0" collapsed="false">
      <c r="A9" s="7" t="s">
        <v>32</v>
      </c>
      <c r="B9" s="8" t="s">
        <v>29</v>
      </c>
      <c r="C9" s="9" t="n">
        <v>1850</v>
      </c>
      <c r="D9" s="9" t="n">
        <v>1850</v>
      </c>
      <c r="E9" s="9" t="n">
        <v>1850</v>
      </c>
      <c r="F9" s="10" t="n">
        <f aca="false">INDEX(C9:E9,1,$B$4)</f>
        <v>1850</v>
      </c>
    </row>
    <row r="10" customFormat="false" ht="15" hidden="false" customHeight="false" outlineLevel="0" collapsed="false">
      <c r="A10" s="7" t="s">
        <v>33</v>
      </c>
      <c r="B10" s="8" t="s">
        <v>31</v>
      </c>
      <c r="C10" s="11" t="n">
        <v>30</v>
      </c>
      <c r="D10" s="11" t="n">
        <v>45</v>
      </c>
      <c r="E10" s="11" t="n">
        <v>60</v>
      </c>
      <c r="F10" s="12" t="n">
        <f aca="false">INDEX(C10:E10,1,$B$4)</f>
        <v>45</v>
      </c>
    </row>
    <row r="11" customFormat="false" ht="15" hidden="false" customHeight="false" outlineLevel="0" collapsed="false">
      <c r="A11" s="7" t="s">
        <v>34</v>
      </c>
      <c r="B11" s="8" t="s">
        <v>29</v>
      </c>
      <c r="C11" s="9" t="n">
        <v>2850</v>
      </c>
      <c r="D11" s="9" t="n">
        <v>2850</v>
      </c>
      <c r="E11" s="9" t="n">
        <v>2850</v>
      </c>
      <c r="F11" s="10" t="n">
        <f aca="false">INDEX(C11:E11,1,$B$4)</f>
        <v>2850</v>
      </c>
    </row>
    <row r="12" customFormat="false" ht="15" hidden="false" customHeight="false" outlineLevel="0" collapsed="false">
      <c r="A12" s="7" t="s">
        <v>35</v>
      </c>
      <c r="B12" s="8" t="s">
        <v>36</v>
      </c>
      <c r="C12" s="9" t="n">
        <v>450</v>
      </c>
      <c r="D12" s="9" t="n">
        <v>450</v>
      </c>
      <c r="E12" s="9" t="n">
        <v>450</v>
      </c>
      <c r="F12" s="10" t="n">
        <f aca="false">INDEX(C12:E12,1,$B$4)</f>
        <v>450</v>
      </c>
    </row>
    <row r="13" customFormat="false" ht="15" hidden="false" customHeight="false" outlineLevel="0" collapsed="false">
      <c r="A13" s="7" t="s">
        <v>37</v>
      </c>
      <c r="B13" s="8" t="s">
        <v>38</v>
      </c>
      <c r="C13" s="9" t="n">
        <v>350</v>
      </c>
      <c r="D13" s="9" t="n">
        <v>350</v>
      </c>
      <c r="E13" s="9" t="n">
        <v>350</v>
      </c>
      <c r="F13" s="10" t="n">
        <f aca="false">INDEX(C13:E13,1,$B$4)</f>
        <v>350</v>
      </c>
    </row>
    <row r="14" customFormat="false" ht="15" hidden="false" customHeight="false" outlineLevel="0" collapsed="false">
      <c r="A14" s="7" t="s">
        <v>39</v>
      </c>
      <c r="B14" s="8" t="s">
        <v>31</v>
      </c>
      <c r="C14" s="11" t="n">
        <v>135</v>
      </c>
      <c r="D14" s="11" t="n">
        <v>110</v>
      </c>
      <c r="E14" s="11" t="n">
        <v>90</v>
      </c>
      <c r="F14" s="12" t="n">
        <f aca="false">INDEX(C14:E14,1,$B$4)</f>
        <v>110</v>
      </c>
    </row>
    <row r="15" customFormat="false" ht="15" hidden="false" customHeight="false" outlineLevel="0" collapsed="false">
      <c r="A15" s="7" t="s">
        <v>40</v>
      </c>
      <c r="B15" s="8" t="s">
        <v>29</v>
      </c>
      <c r="C15" s="9" t="n">
        <v>1900</v>
      </c>
      <c r="D15" s="9" t="n">
        <v>1800</v>
      </c>
      <c r="E15" s="9" t="n">
        <v>1700</v>
      </c>
      <c r="F15" s="10" t="n">
        <f aca="false">INDEX(C15:E15,1,$B$4)</f>
        <v>1800</v>
      </c>
    </row>
    <row r="16" customFormat="false" ht="15" hidden="false" customHeight="false" outlineLevel="0" collapsed="false">
      <c r="A16" s="7" t="s">
        <v>41</v>
      </c>
      <c r="B16" s="8" t="s">
        <v>31</v>
      </c>
      <c r="C16" s="11" t="n">
        <v>80</v>
      </c>
      <c r="D16" s="11" t="n">
        <v>110</v>
      </c>
      <c r="E16" s="11" t="n">
        <v>140</v>
      </c>
      <c r="F16" s="12" t="n">
        <f aca="false">INDEX(C16:E16,1,$B$4)</f>
        <v>110</v>
      </c>
    </row>
    <row r="17" customFormat="false" ht="15" hidden="false" customHeight="false" outlineLevel="0" collapsed="false">
      <c r="A17" s="7" t="s">
        <v>42</v>
      </c>
      <c r="B17" s="8" t="s">
        <v>29</v>
      </c>
      <c r="C17" s="9" t="n">
        <v>1450</v>
      </c>
      <c r="D17" s="9" t="n">
        <v>1450</v>
      </c>
      <c r="E17" s="9" t="n">
        <v>1450</v>
      </c>
      <c r="F17" s="10" t="n">
        <f aca="false">INDEX(C17:E17,1,$B$4)</f>
        <v>1450</v>
      </c>
    </row>
    <row r="18" customFormat="false" ht="15" hidden="false" customHeight="false" outlineLevel="0" collapsed="false">
      <c r="A18" s="7" t="s">
        <v>43</v>
      </c>
      <c r="B18" s="8" t="s">
        <v>31</v>
      </c>
      <c r="C18" s="11" t="n">
        <v>150</v>
      </c>
      <c r="D18" s="11" t="n">
        <v>150</v>
      </c>
      <c r="E18" s="11" t="n">
        <v>150</v>
      </c>
      <c r="F18" s="12" t="n">
        <f aca="false">INDEX(C18:E18,1,$B$4)</f>
        <v>150</v>
      </c>
    </row>
    <row r="19" customFormat="false" ht="15" hidden="false" customHeight="false" outlineLevel="0" collapsed="false">
      <c r="A19" s="7" t="s">
        <v>44</v>
      </c>
      <c r="B19" s="8" t="s">
        <v>31</v>
      </c>
      <c r="C19" s="11" t="n">
        <v>135</v>
      </c>
      <c r="D19" s="11" t="n">
        <v>135</v>
      </c>
      <c r="E19" s="11" t="n">
        <v>135</v>
      </c>
      <c r="F19" s="12" t="n">
        <f aca="false">INDEX(C19:E19,1,$B$4)</f>
        <v>135</v>
      </c>
    </row>
    <row r="20" customFormat="false" ht="15" hidden="false" customHeight="false" outlineLevel="0" collapsed="false">
      <c r="A20" s="7" t="s">
        <v>45</v>
      </c>
      <c r="B20" s="8" t="s">
        <v>46</v>
      </c>
      <c r="C20" s="13" t="n">
        <v>0.25</v>
      </c>
      <c r="D20" s="13" t="n">
        <v>0.4</v>
      </c>
      <c r="E20" s="13" t="n">
        <v>0.55</v>
      </c>
      <c r="F20" s="14" t="n">
        <f aca="false">INDEX(C20:E20,1,$B$4)</f>
        <v>0.4</v>
      </c>
    </row>
    <row r="21" customFormat="false" ht="15" hidden="false" customHeight="false" outlineLevel="0" collapsed="false">
      <c r="A21" s="7" t="s">
        <v>47</v>
      </c>
      <c r="B21" s="8" t="s">
        <v>48</v>
      </c>
      <c r="C21" s="9" t="n">
        <v>9000</v>
      </c>
      <c r="D21" s="9" t="n">
        <v>9000</v>
      </c>
      <c r="E21" s="9" t="n">
        <v>9000</v>
      </c>
      <c r="F21" s="10" t="n">
        <f aca="false">INDEX(C21:E21,1,$B$4)</f>
        <v>9000</v>
      </c>
    </row>
    <row r="22" customFormat="false" ht="15" hidden="false" customHeight="false" outlineLevel="0" collapsed="false">
      <c r="A22" s="7" t="s">
        <v>49</v>
      </c>
      <c r="B22" s="8" t="s">
        <v>50</v>
      </c>
      <c r="C22" s="11" t="n">
        <v>8</v>
      </c>
      <c r="D22" s="11" t="n">
        <v>8</v>
      </c>
      <c r="E22" s="11" t="n">
        <v>8</v>
      </c>
      <c r="F22" s="12" t="n">
        <f aca="false">INDEX(C22:E22,1,$B$4)</f>
        <v>8</v>
      </c>
    </row>
    <row r="23" customFormat="false" ht="15" hidden="false" customHeight="false" outlineLevel="0" collapsed="false">
      <c r="A23" s="7" t="s">
        <v>51</v>
      </c>
      <c r="B23" s="8" t="s">
        <v>29</v>
      </c>
      <c r="C23" s="9" t="n">
        <v>429000</v>
      </c>
      <c r="D23" s="9" t="n">
        <v>390000</v>
      </c>
      <c r="E23" s="9" t="n">
        <v>370000</v>
      </c>
      <c r="F23" s="10" t="n">
        <f aca="false">INDEX(C23:E23,1,$B$4)</f>
        <v>390000</v>
      </c>
    </row>
    <row r="24" customFormat="false" ht="15" hidden="false" customHeight="false" outlineLevel="0" collapsed="false">
      <c r="A24" s="7" t="s">
        <v>52</v>
      </c>
      <c r="B24" s="8" t="s">
        <v>48</v>
      </c>
      <c r="C24" s="9" t="n">
        <v>0</v>
      </c>
      <c r="D24" s="9" t="n">
        <v>0</v>
      </c>
      <c r="E24" s="9" t="n">
        <v>0</v>
      </c>
      <c r="F24" s="10" t="n">
        <f aca="false">INDEX(C24:E24,1,$B$4)</f>
        <v>0</v>
      </c>
    </row>
  </sheetData>
  <dataValidations count="1">
    <dataValidation allowBlank="false" error="Escriba 1, 2 o 3" errorStyle="stop" operator="between" showDropDown="false" showErrorMessage="false" showInputMessage="false" sqref="B4" type="whole">
      <formula1>1</formula1>
      <formula2>3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14" min="3" style="0" width="12"/>
    <col collapsed="false" customWidth="true" hidden="false" outlineLevel="0" max="15" min="15" style="0" width="15"/>
  </cols>
  <sheetData>
    <row r="1" customFormat="false" ht="17.35" hidden="false" customHeight="false" outlineLevel="0" collapsed="false">
      <c r="A1" s="1" t="s">
        <v>53</v>
      </c>
    </row>
    <row r="2" customFormat="false" ht="15" hidden="false" customHeight="false" outlineLevel="0" collapsed="false">
      <c r="A2" s="15" t="str">
        <f aca="false">CONCATENATE("Escenario en uso: ",Supuestos!C4,"  (cámbielo en Supuestos!B4)")</f>
        <v>Escenario en uso: Base  (cámbielo en Supuestos!B4)</v>
      </c>
    </row>
    <row r="4" customFormat="false" ht="15" hidden="false" customHeight="false" outlineLevel="0" collapsed="false">
      <c r="A4" s="6" t="s">
        <v>54</v>
      </c>
      <c r="B4" s="6" t="s">
        <v>55</v>
      </c>
      <c r="C4" s="6" t="s">
        <v>56</v>
      </c>
      <c r="D4" s="6" t="s">
        <v>57</v>
      </c>
      <c r="E4" s="6" t="s">
        <v>58</v>
      </c>
      <c r="F4" s="6" t="s">
        <v>59</v>
      </c>
      <c r="G4" s="6" t="s">
        <v>60</v>
      </c>
      <c r="H4" s="6" t="s">
        <v>61</v>
      </c>
      <c r="I4" s="6" t="s">
        <v>62</v>
      </c>
      <c r="J4" s="6" t="s">
        <v>63</v>
      </c>
      <c r="K4" s="6" t="s">
        <v>64</v>
      </c>
      <c r="L4" s="6" t="s">
        <v>65</v>
      </c>
      <c r="M4" s="6" t="s">
        <v>66</v>
      </c>
      <c r="N4" s="6" t="s">
        <v>67</v>
      </c>
      <c r="O4" s="6" t="s">
        <v>68</v>
      </c>
    </row>
    <row r="5" customFormat="false" ht="15" hidden="false" customHeight="false" outlineLevel="0" collapsed="false">
      <c r="A5" s="16" t="s">
        <v>69</v>
      </c>
      <c r="C5" s="17" t="n">
        <v>1</v>
      </c>
      <c r="D5" s="17" t="n">
        <v>2</v>
      </c>
      <c r="E5" s="17" t="n">
        <v>3</v>
      </c>
      <c r="F5" s="17" t="n">
        <v>4</v>
      </c>
      <c r="G5" s="17" t="n">
        <v>5</v>
      </c>
      <c r="H5" s="17" t="n">
        <v>6</v>
      </c>
      <c r="I5" s="17" t="n">
        <v>7</v>
      </c>
      <c r="J5" s="17" t="n">
        <v>8</v>
      </c>
      <c r="K5" s="17" t="n">
        <v>9</v>
      </c>
      <c r="L5" s="17" t="n">
        <v>10</v>
      </c>
      <c r="M5" s="17" t="n">
        <v>11</v>
      </c>
      <c r="N5" s="17" t="n">
        <v>12</v>
      </c>
    </row>
    <row r="6" customFormat="false" ht="15" hidden="false" customHeight="false" outlineLevel="0" collapsed="false">
      <c r="A6" s="18" t="s">
        <v>70</v>
      </c>
    </row>
    <row r="7" customFormat="false" ht="15" hidden="false" customHeight="false" outlineLevel="0" collapsed="false">
      <c r="A7" s="2" t="s">
        <v>71</v>
      </c>
      <c r="B7" s="19" t="s">
        <v>72</v>
      </c>
      <c r="C7" s="20" t="n">
        <f aca="false">Supuestos!$F$7</f>
        <v>600000</v>
      </c>
      <c r="D7" s="20" t="n">
        <f aca="false">Supuestos!$F$7</f>
        <v>600000</v>
      </c>
      <c r="E7" s="20" t="n">
        <f aca="false">Supuestos!$F$7</f>
        <v>600000</v>
      </c>
      <c r="F7" s="20" t="n">
        <f aca="false">Supuestos!$F$7</f>
        <v>600000</v>
      </c>
      <c r="G7" s="20" t="n">
        <f aca="false">Supuestos!$F$7</f>
        <v>600000</v>
      </c>
      <c r="H7" s="20" t="n">
        <f aca="false">Supuestos!$F$7</f>
        <v>600000</v>
      </c>
      <c r="I7" s="20" t="n">
        <f aca="false">Supuestos!$F$7</f>
        <v>600000</v>
      </c>
      <c r="J7" s="20" t="n">
        <f aca="false">Supuestos!$F$7</f>
        <v>600000</v>
      </c>
      <c r="K7" s="20" t="n">
        <f aca="false">Supuestos!$F$7</f>
        <v>600000</v>
      </c>
      <c r="L7" s="20" t="n">
        <f aca="false">Supuestos!$F$7</f>
        <v>600000</v>
      </c>
      <c r="M7" s="20" t="n">
        <f aca="false">Supuestos!$F$7</f>
        <v>600000</v>
      </c>
      <c r="N7" s="20" t="n">
        <f aca="false">Supuestos!$F$7</f>
        <v>600000</v>
      </c>
      <c r="O7" s="21" t="n">
        <f aca="false">SUM(C7:N7)</f>
        <v>7200000</v>
      </c>
    </row>
    <row r="8" customFormat="false" ht="15" hidden="false" customHeight="false" outlineLevel="0" collapsed="false">
      <c r="A8" s="2" t="s">
        <v>73</v>
      </c>
      <c r="B8" s="19" t="s">
        <v>74</v>
      </c>
      <c r="C8" s="20" t="n">
        <f aca="false">Supuestos!$F$8*Supuestos!$F$9</f>
        <v>14800</v>
      </c>
      <c r="D8" s="20" t="n">
        <f aca="false">Supuestos!$F$8*Supuestos!$F$9</f>
        <v>14800</v>
      </c>
      <c r="E8" s="20" t="n">
        <f aca="false">Supuestos!$F$8*Supuestos!$F$9</f>
        <v>14800</v>
      </c>
      <c r="F8" s="20" t="n">
        <f aca="false">Supuestos!$F$8*Supuestos!$F$9</f>
        <v>14800</v>
      </c>
      <c r="G8" s="20" t="n">
        <f aca="false">Supuestos!$F$8*Supuestos!$F$9</f>
        <v>14800</v>
      </c>
      <c r="H8" s="20" t="n">
        <f aca="false">Supuestos!$F$8*Supuestos!$F$9</f>
        <v>14800</v>
      </c>
      <c r="I8" s="20" t="n">
        <f aca="false">Supuestos!$F$8*Supuestos!$F$9</f>
        <v>14800</v>
      </c>
      <c r="J8" s="20" t="n">
        <f aca="false">Supuestos!$F$8*Supuestos!$F$9</f>
        <v>14800</v>
      </c>
      <c r="K8" s="20" t="n">
        <f aca="false">Supuestos!$F$8*Supuestos!$F$9</f>
        <v>14800</v>
      </c>
      <c r="L8" s="20" t="n">
        <f aca="false">Supuestos!$F$8*Supuestos!$F$9</f>
        <v>14800</v>
      </c>
      <c r="M8" s="20" t="n">
        <f aca="false">Supuestos!$F$8*Supuestos!$F$9</f>
        <v>14800</v>
      </c>
      <c r="N8" s="20" t="n">
        <f aca="false">Supuestos!$F$8*Supuestos!$F$9</f>
        <v>14800</v>
      </c>
      <c r="O8" s="21" t="n">
        <f aca="false">SUM(C8:N8)</f>
        <v>177600</v>
      </c>
    </row>
    <row r="9" customFormat="false" ht="15" hidden="false" customHeight="false" outlineLevel="0" collapsed="false">
      <c r="A9" s="2" t="s">
        <v>75</v>
      </c>
      <c r="B9" s="19" t="s">
        <v>76</v>
      </c>
      <c r="C9" s="20" t="n">
        <f aca="false">IF(OR(C$5=1,C$5=2),Supuestos!$F$10*Supuestos!$F$12/2,0)</f>
        <v>10125</v>
      </c>
      <c r="D9" s="20" t="n">
        <f aca="false">IF(OR(D$5=1,D$5=2),Supuestos!$F$10*Supuestos!$F$12/2,0)</f>
        <v>10125</v>
      </c>
      <c r="E9" s="20" t="n">
        <f aca="false">IF(OR(E$5=1,E$5=2),Supuestos!$F$10*Supuestos!$F$12/2,0)</f>
        <v>0</v>
      </c>
      <c r="F9" s="20" t="n">
        <f aca="false">IF(OR(F$5=1,F$5=2),Supuestos!$F$10*Supuestos!$F$12/2,0)</f>
        <v>0</v>
      </c>
      <c r="G9" s="20" t="n">
        <f aca="false">IF(OR(G$5=1,G$5=2),Supuestos!$F$10*Supuestos!$F$12/2,0)</f>
        <v>0</v>
      </c>
      <c r="H9" s="20" t="n">
        <f aca="false">IF(OR(H$5=1,H$5=2),Supuestos!$F$10*Supuestos!$F$12/2,0)</f>
        <v>0</v>
      </c>
      <c r="I9" s="20" t="n">
        <f aca="false">IF(OR(I$5=1,I$5=2),Supuestos!$F$10*Supuestos!$F$12/2,0)</f>
        <v>0</v>
      </c>
      <c r="J9" s="20" t="n">
        <f aca="false">IF(OR(J$5=1,J$5=2),Supuestos!$F$10*Supuestos!$F$12/2,0)</f>
        <v>0</v>
      </c>
      <c r="K9" s="20" t="n">
        <f aca="false">IF(OR(K$5=1,K$5=2),Supuestos!$F$10*Supuestos!$F$12/2,0)</f>
        <v>0</v>
      </c>
      <c r="L9" s="20" t="n">
        <f aca="false">IF(OR(L$5=1,L$5=2),Supuestos!$F$10*Supuestos!$F$12/2,0)</f>
        <v>0</v>
      </c>
      <c r="M9" s="20" t="n">
        <f aca="false">IF(OR(M$5=1,M$5=2),Supuestos!$F$10*Supuestos!$F$12/2,0)</f>
        <v>0</v>
      </c>
      <c r="N9" s="20" t="n">
        <f aca="false">IF(OR(N$5=1,N$5=2),Supuestos!$F$10*Supuestos!$F$12/2,0)</f>
        <v>0</v>
      </c>
      <c r="O9" s="21" t="n">
        <f aca="false">SUM(C9:N9)</f>
        <v>20250</v>
      </c>
    </row>
    <row r="10" customFormat="false" ht="15" hidden="false" customHeight="false" outlineLevel="0" collapsed="false">
      <c r="A10" s="2" t="s">
        <v>77</v>
      </c>
      <c r="B10" s="19" t="s">
        <v>78</v>
      </c>
      <c r="C10" s="20" t="n">
        <f aca="false">IF(C$5&gt;=2,Supuestos!$F$10*Supuestos!$F$11,0)</f>
        <v>0</v>
      </c>
      <c r="D10" s="20" t="n">
        <f aca="false">IF(D$5&gt;=2,Supuestos!$F$10*Supuestos!$F$11,0)</f>
        <v>128250</v>
      </c>
      <c r="E10" s="20" t="n">
        <f aca="false">IF(E$5&gt;=2,Supuestos!$F$10*Supuestos!$F$11,0)</f>
        <v>128250</v>
      </c>
      <c r="F10" s="20" t="n">
        <f aca="false">IF(F$5&gt;=2,Supuestos!$F$10*Supuestos!$F$11,0)</f>
        <v>128250</v>
      </c>
      <c r="G10" s="20" t="n">
        <f aca="false">IF(G$5&gt;=2,Supuestos!$F$10*Supuestos!$F$11,0)</f>
        <v>128250</v>
      </c>
      <c r="H10" s="20" t="n">
        <f aca="false">IF(H$5&gt;=2,Supuestos!$F$10*Supuestos!$F$11,0)</f>
        <v>128250</v>
      </c>
      <c r="I10" s="20" t="n">
        <f aca="false">IF(I$5&gt;=2,Supuestos!$F$10*Supuestos!$F$11,0)</f>
        <v>128250</v>
      </c>
      <c r="J10" s="20" t="n">
        <f aca="false">IF(J$5&gt;=2,Supuestos!$F$10*Supuestos!$F$11,0)</f>
        <v>128250</v>
      </c>
      <c r="K10" s="20" t="n">
        <f aca="false">IF(K$5&gt;=2,Supuestos!$F$10*Supuestos!$F$11,0)</f>
        <v>128250</v>
      </c>
      <c r="L10" s="20" t="n">
        <f aca="false">IF(L$5&gt;=2,Supuestos!$F$10*Supuestos!$F$11,0)</f>
        <v>128250</v>
      </c>
      <c r="M10" s="20" t="n">
        <f aca="false">IF(M$5&gt;=2,Supuestos!$F$10*Supuestos!$F$11,0)</f>
        <v>128250</v>
      </c>
      <c r="N10" s="20" t="n">
        <f aca="false">IF(N$5&gt;=2,Supuestos!$F$10*Supuestos!$F$11,0)</f>
        <v>128250</v>
      </c>
      <c r="O10" s="21" t="n">
        <f aca="false">SUM(C10:N10)</f>
        <v>1410750</v>
      </c>
    </row>
    <row r="11" customFormat="false" ht="15" hidden="false" customHeight="false" outlineLevel="0" collapsed="false">
      <c r="A11" s="2" t="s">
        <v>79</v>
      </c>
      <c r="B11" s="19" t="s">
        <v>80</v>
      </c>
      <c r="C11" s="20" t="n">
        <f aca="false">IF(OR(C$5=5,C$5=8,C$5=11),Supuestos!$F$10*Supuestos!$F$13,0)</f>
        <v>0</v>
      </c>
      <c r="D11" s="20" t="n">
        <f aca="false">IF(OR(D$5=5,D$5=8,D$5=11),Supuestos!$F$10*Supuestos!$F$13,0)</f>
        <v>0</v>
      </c>
      <c r="E11" s="20" t="n">
        <f aca="false">IF(OR(E$5=5,E$5=8,E$5=11),Supuestos!$F$10*Supuestos!$F$13,0)</f>
        <v>0</v>
      </c>
      <c r="F11" s="20" t="n">
        <f aca="false">IF(OR(F$5=5,F$5=8,F$5=11),Supuestos!$F$10*Supuestos!$F$13,0)</f>
        <v>0</v>
      </c>
      <c r="G11" s="20" t="n">
        <f aca="false">IF(OR(G$5=5,G$5=8,G$5=11),Supuestos!$F$10*Supuestos!$F$13,0)</f>
        <v>15750</v>
      </c>
      <c r="H11" s="20" t="n">
        <f aca="false">IF(OR(H$5=5,H$5=8,H$5=11),Supuestos!$F$10*Supuestos!$F$13,0)</f>
        <v>0</v>
      </c>
      <c r="I11" s="20" t="n">
        <f aca="false">IF(OR(I$5=5,I$5=8,I$5=11),Supuestos!$F$10*Supuestos!$F$13,0)</f>
        <v>0</v>
      </c>
      <c r="J11" s="20" t="n">
        <f aca="false">IF(OR(J$5=5,J$5=8,J$5=11),Supuestos!$F$10*Supuestos!$F$13,0)</f>
        <v>15750</v>
      </c>
      <c r="K11" s="20" t="n">
        <f aca="false">IF(OR(K$5=5,K$5=8,K$5=11),Supuestos!$F$10*Supuestos!$F$13,0)</f>
        <v>0</v>
      </c>
      <c r="L11" s="20" t="n">
        <f aca="false">IF(OR(L$5=5,L$5=8,L$5=11),Supuestos!$F$10*Supuestos!$F$13,0)</f>
        <v>0</v>
      </c>
      <c r="M11" s="20" t="n">
        <f aca="false">IF(OR(M$5=5,M$5=8,M$5=11),Supuestos!$F$10*Supuestos!$F$13,0)</f>
        <v>15750</v>
      </c>
      <c r="N11" s="20" t="n">
        <f aca="false">IF(OR(N$5=5,N$5=8,N$5=11),Supuestos!$F$10*Supuestos!$F$13,0)</f>
        <v>0</v>
      </c>
      <c r="O11" s="21" t="n">
        <f aca="false">SUM(C11:N11)</f>
        <v>47250</v>
      </c>
    </row>
    <row r="12" customFormat="false" ht="15" hidden="false" customHeight="false" outlineLevel="0" collapsed="false">
      <c r="A12" s="2" t="s">
        <v>81</v>
      </c>
      <c r="B12" s="19" t="s">
        <v>82</v>
      </c>
      <c r="C12" s="20" t="n">
        <f aca="false">IF(C$5&gt;=5,-Supuestos!$F$14*Supuestos!$F$15,0)</f>
        <v>0</v>
      </c>
      <c r="D12" s="20" t="n">
        <f aca="false">IF(D$5&gt;=5,-Supuestos!$F$14*Supuestos!$F$15,0)</f>
        <v>0</v>
      </c>
      <c r="E12" s="20" t="n">
        <f aca="false">IF(E$5&gt;=5,-Supuestos!$F$14*Supuestos!$F$15,0)</f>
        <v>0</v>
      </c>
      <c r="F12" s="20" t="n">
        <f aca="false">IF(F$5&gt;=5,-Supuestos!$F$14*Supuestos!$F$15,0)</f>
        <v>0</v>
      </c>
      <c r="G12" s="20" t="n">
        <f aca="false">IF(G$5&gt;=5,-Supuestos!$F$14*Supuestos!$F$15,0)</f>
        <v>-198000</v>
      </c>
      <c r="H12" s="20" t="n">
        <f aca="false">IF(H$5&gt;=5,-Supuestos!$F$14*Supuestos!$F$15,0)</f>
        <v>-198000</v>
      </c>
      <c r="I12" s="20" t="n">
        <f aca="false">IF(I$5&gt;=5,-Supuestos!$F$14*Supuestos!$F$15,0)</f>
        <v>-198000</v>
      </c>
      <c r="J12" s="20" t="n">
        <f aca="false">IF(J$5&gt;=5,-Supuestos!$F$14*Supuestos!$F$15,0)</f>
        <v>-198000</v>
      </c>
      <c r="K12" s="20" t="n">
        <f aca="false">IF(K$5&gt;=5,-Supuestos!$F$14*Supuestos!$F$15,0)</f>
        <v>-198000</v>
      </c>
      <c r="L12" s="20" t="n">
        <f aca="false">IF(L$5&gt;=5,-Supuestos!$F$14*Supuestos!$F$15,0)</f>
        <v>-198000</v>
      </c>
      <c r="M12" s="20" t="n">
        <f aca="false">IF(M$5&gt;=5,-Supuestos!$F$14*Supuestos!$F$15,0)</f>
        <v>-198000</v>
      </c>
      <c r="N12" s="20" t="n">
        <f aca="false">IF(N$5&gt;=5,-Supuestos!$F$14*Supuestos!$F$15,0)</f>
        <v>-198000</v>
      </c>
      <c r="O12" s="21" t="n">
        <f aca="false">SUM(C12:N12)</f>
        <v>-1584000</v>
      </c>
    </row>
    <row r="13" customFormat="false" ht="15" hidden="false" customHeight="false" outlineLevel="0" collapsed="false">
      <c r="A13" s="2" t="s">
        <v>83</v>
      </c>
      <c r="B13" s="19" t="s">
        <v>84</v>
      </c>
      <c r="C13" s="20" t="n">
        <f aca="false">IF(OR(C$5=4,C$5=5),Supuestos!$F$16*Supuestos!$F$12/2,0)</f>
        <v>0</v>
      </c>
      <c r="D13" s="20" t="n">
        <f aca="false">IF(OR(D$5=4,D$5=5),Supuestos!$F$16*Supuestos!$F$12/2,0)</f>
        <v>0</v>
      </c>
      <c r="E13" s="20" t="n">
        <f aca="false">IF(OR(E$5=4,E$5=5),Supuestos!$F$16*Supuestos!$F$12/2,0)</f>
        <v>0</v>
      </c>
      <c r="F13" s="20" t="n">
        <f aca="false">IF(OR(F$5=4,F$5=5),Supuestos!$F$16*Supuestos!$F$12/2,0)</f>
        <v>24750</v>
      </c>
      <c r="G13" s="20" t="n">
        <f aca="false">IF(OR(G$5=4,G$5=5),Supuestos!$F$16*Supuestos!$F$12/2,0)</f>
        <v>24750</v>
      </c>
      <c r="H13" s="20" t="n">
        <f aca="false">IF(OR(H$5=4,H$5=5),Supuestos!$F$16*Supuestos!$F$12/2,0)</f>
        <v>0</v>
      </c>
      <c r="I13" s="20" t="n">
        <f aca="false">IF(OR(I$5=4,I$5=5),Supuestos!$F$16*Supuestos!$F$12/2,0)</f>
        <v>0</v>
      </c>
      <c r="J13" s="20" t="n">
        <f aca="false">IF(OR(J$5=4,J$5=5),Supuestos!$F$16*Supuestos!$F$12/2,0)</f>
        <v>0</v>
      </c>
      <c r="K13" s="20" t="n">
        <f aca="false">IF(OR(K$5=4,K$5=5),Supuestos!$F$16*Supuestos!$F$12/2,0)</f>
        <v>0</v>
      </c>
      <c r="L13" s="20" t="n">
        <f aca="false">IF(OR(L$5=4,L$5=5),Supuestos!$F$16*Supuestos!$F$12/2,0)</f>
        <v>0</v>
      </c>
      <c r="M13" s="20" t="n">
        <f aca="false">IF(OR(M$5=4,M$5=5),Supuestos!$F$16*Supuestos!$F$12/2,0)</f>
        <v>0</v>
      </c>
      <c r="N13" s="20" t="n">
        <f aca="false">IF(OR(N$5=4,N$5=5),Supuestos!$F$16*Supuestos!$F$12/2,0)</f>
        <v>0</v>
      </c>
      <c r="O13" s="21" t="n">
        <f aca="false">SUM(C13:N13)</f>
        <v>49500</v>
      </c>
    </row>
    <row r="14" customFormat="false" ht="15" hidden="false" customHeight="false" outlineLevel="0" collapsed="false">
      <c r="A14" s="2" t="s">
        <v>85</v>
      </c>
      <c r="B14" s="19" t="s">
        <v>86</v>
      </c>
      <c r="C14" s="20" t="n">
        <f aca="false">IF(C$5&gt;=5,Supuestos!$F$16*Supuestos!$F$17,0)</f>
        <v>0</v>
      </c>
      <c r="D14" s="20" t="n">
        <f aca="false">IF(D$5&gt;=5,Supuestos!$F$16*Supuestos!$F$17,0)</f>
        <v>0</v>
      </c>
      <c r="E14" s="20" t="n">
        <f aca="false">IF(E$5&gt;=5,Supuestos!$F$16*Supuestos!$F$17,0)</f>
        <v>0</v>
      </c>
      <c r="F14" s="20" t="n">
        <f aca="false">IF(F$5&gt;=5,Supuestos!$F$16*Supuestos!$F$17,0)</f>
        <v>0</v>
      </c>
      <c r="G14" s="20" t="n">
        <f aca="false">IF(G$5&gt;=5,Supuestos!$F$16*Supuestos!$F$17,0)</f>
        <v>159500</v>
      </c>
      <c r="H14" s="20" t="n">
        <f aca="false">IF(H$5&gt;=5,Supuestos!$F$16*Supuestos!$F$17,0)</f>
        <v>159500</v>
      </c>
      <c r="I14" s="20" t="n">
        <f aca="false">IF(I$5&gt;=5,Supuestos!$F$16*Supuestos!$F$17,0)</f>
        <v>159500</v>
      </c>
      <c r="J14" s="20" t="n">
        <f aca="false">IF(J$5&gt;=5,Supuestos!$F$16*Supuestos!$F$17,0)</f>
        <v>159500</v>
      </c>
      <c r="K14" s="20" t="n">
        <f aca="false">IF(K$5&gt;=5,Supuestos!$F$16*Supuestos!$F$17,0)</f>
        <v>159500</v>
      </c>
      <c r="L14" s="20" t="n">
        <f aca="false">IF(L$5&gt;=5,Supuestos!$F$16*Supuestos!$F$17,0)</f>
        <v>159500</v>
      </c>
      <c r="M14" s="20" t="n">
        <f aca="false">IF(M$5&gt;=5,Supuestos!$F$16*Supuestos!$F$17,0)</f>
        <v>159500</v>
      </c>
      <c r="N14" s="20" t="n">
        <f aca="false">IF(N$5&gt;=5,Supuestos!$F$16*Supuestos!$F$17,0)</f>
        <v>159500</v>
      </c>
      <c r="O14" s="21" t="n">
        <f aca="false">SUM(C14:N14)</f>
        <v>1276000</v>
      </c>
    </row>
    <row r="15" customFormat="false" ht="15" hidden="false" customHeight="false" outlineLevel="0" collapsed="false">
      <c r="A15" s="2" t="s">
        <v>87</v>
      </c>
      <c r="B15" s="19" t="s">
        <v>88</v>
      </c>
      <c r="C15" s="20" t="n">
        <f aca="false">IF(C$5=11,Supuestos!$F$16*Supuestos!$F$13,0)</f>
        <v>0</v>
      </c>
      <c r="D15" s="20" t="n">
        <f aca="false">IF(D$5=11,Supuestos!$F$16*Supuestos!$F$13,0)</f>
        <v>0</v>
      </c>
      <c r="E15" s="20" t="n">
        <f aca="false">IF(E$5=11,Supuestos!$F$16*Supuestos!$F$13,0)</f>
        <v>0</v>
      </c>
      <c r="F15" s="20" t="n">
        <f aca="false">IF(F$5=11,Supuestos!$F$16*Supuestos!$F$13,0)</f>
        <v>0</v>
      </c>
      <c r="G15" s="20" t="n">
        <f aca="false">IF(G$5=11,Supuestos!$F$16*Supuestos!$F$13,0)</f>
        <v>0</v>
      </c>
      <c r="H15" s="20" t="n">
        <f aca="false">IF(H$5=11,Supuestos!$F$16*Supuestos!$F$13,0)</f>
        <v>0</v>
      </c>
      <c r="I15" s="20" t="n">
        <f aca="false">IF(I$5=11,Supuestos!$F$16*Supuestos!$F$13,0)</f>
        <v>0</v>
      </c>
      <c r="J15" s="20" t="n">
        <f aca="false">IF(J$5=11,Supuestos!$F$16*Supuestos!$F$13,0)</f>
        <v>0</v>
      </c>
      <c r="K15" s="20" t="n">
        <f aca="false">IF(K$5=11,Supuestos!$F$16*Supuestos!$F$13,0)</f>
        <v>0</v>
      </c>
      <c r="L15" s="20" t="n">
        <f aca="false">IF(L$5=11,Supuestos!$F$16*Supuestos!$F$13,0)</f>
        <v>0</v>
      </c>
      <c r="M15" s="20" t="n">
        <f aca="false">IF(M$5=11,Supuestos!$F$16*Supuestos!$F$13,0)</f>
        <v>38500</v>
      </c>
      <c r="N15" s="20" t="n">
        <f aca="false">IF(N$5=11,Supuestos!$F$16*Supuestos!$F$13,0)</f>
        <v>0</v>
      </c>
      <c r="O15" s="21" t="n">
        <f aca="false">SUM(C15:N15)</f>
        <v>38500</v>
      </c>
    </row>
    <row r="16" customFormat="false" ht="15" hidden="false" customHeight="false" outlineLevel="0" collapsed="false">
      <c r="A16" s="2" t="s">
        <v>89</v>
      </c>
      <c r="B16" s="19" t="s">
        <v>90</v>
      </c>
      <c r="C16" s="20" t="n">
        <f aca="false">IF(OR(C$5=5,C$5=11),Supuestos!$F$18*Supuestos!$F$13,0)</f>
        <v>0</v>
      </c>
      <c r="D16" s="20" t="n">
        <f aca="false">IF(OR(D$5=5,D$5=11),Supuestos!$F$18*Supuestos!$F$13,0)</f>
        <v>0</v>
      </c>
      <c r="E16" s="20" t="n">
        <f aca="false">IF(OR(E$5=5,E$5=11),Supuestos!$F$18*Supuestos!$F$13,0)</f>
        <v>0</v>
      </c>
      <c r="F16" s="20" t="n">
        <f aca="false">IF(OR(F$5=5,F$5=11),Supuestos!$F$18*Supuestos!$F$13,0)</f>
        <v>0</v>
      </c>
      <c r="G16" s="20" t="n">
        <f aca="false">IF(OR(G$5=5,G$5=11),Supuestos!$F$18*Supuestos!$F$13,0)</f>
        <v>52500</v>
      </c>
      <c r="H16" s="20" t="n">
        <f aca="false">IF(OR(H$5=5,H$5=11),Supuestos!$F$18*Supuestos!$F$13,0)</f>
        <v>0</v>
      </c>
      <c r="I16" s="20" t="n">
        <f aca="false">IF(OR(I$5=5,I$5=11),Supuestos!$F$18*Supuestos!$F$13,0)</f>
        <v>0</v>
      </c>
      <c r="J16" s="20" t="n">
        <f aca="false">IF(OR(J$5=5,J$5=11),Supuestos!$F$18*Supuestos!$F$13,0)</f>
        <v>0</v>
      </c>
      <c r="K16" s="20" t="n">
        <f aca="false">IF(OR(K$5=5,K$5=11),Supuestos!$F$18*Supuestos!$F$13,0)</f>
        <v>0</v>
      </c>
      <c r="L16" s="20" t="n">
        <f aca="false">IF(OR(L$5=5,L$5=11),Supuestos!$F$18*Supuestos!$F$13,0)</f>
        <v>0</v>
      </c>
      <c r="M16" s="20" t="n">
        <f aca="false">IF(OR(M$5=5,M$5=11),Supuestos!$F$18*Supuestos!$F$13,0)</f>
        <v>52500</v>
      </c>
      <c r="N16" s="20" t="n">
        <f aca="false">IF(OR(N$5=5,N$5=11),Supuestos!$F$18*Supuestos!$F$13,0)</f>
        <v>0</v>
      </c>
      <c r="O16" s="21" t="n">
        <f aca="false">SUM(C16:N16)</f>
        <v>105000</v>
      </c>
    </row>
    <row r="17" customFormat="false" ht="15" hidden="false" customHeight="false" outlineLevel="0" collapsed="false">
      <c r="A17" s="2" t="s">
        <v>91</v>
      </c>
      <c r="B17" s="19" t="s">
        <v>92</v>
      </c>
      <c r="C17" s="20" t="n">
        <f aca="false">IF(AND(C$5&gt;=5,C$5&lt;5+Supuestos!$F$22),Supuestos!$F$19*Supuestos!$F$20*Supuestos!$F$21/Supuestos!$F$22,0)</f>
        <v>0</v>
      </c>
      <c r="D17" s="20" t="n">
        <f aca="false">IF(AND(D$5&gt;=5,D$5&lt;5+Supuestos!$F$22),Supuestos!$F$19*Supuestos!$F$20*Supuestos!$F$21/Supuestos!$F$22,0)</f>
        <v>0</v>
      </c>
      <c r="E17" s="20" t="n">
        <f aca="false">IF(AND(E$5&gt;=5,E$5&lt;5+Supuestos!$F$22),Supuestos!$F$19*Supuestos!$F$20*Supuestos!$F$21/Supuestos!$F$22,0)</f>
        <v>0</v>
      </c>
      <c r="F17" s="20" t="n">
        <f aca="false">IF(AND(F$5&gt;=5,F$5&lt;5+Supuestos!$F$22),Supuestos!$F$19*Supuestos!$F$20*Supuestos!$F$21/Supuestos!$F$22,0)</f>
        <v>0</v>
      </c>
      <c r="G17" s="20" t="n">
        <f aca="false">IF(AND(G$5&gt;=5,G$5&lt;5+Supuestos!$F$22),Supuestos!$F$19*Supuestos!$F$20*Supuestos!$F$21/Supuestos!$F$22,0)</f>
        <v>60750</v>
      </c>
      <c r="H17" s="20" t="n">
        <f aca="false">IF(AND(H$5&gt;=5,H$5&lt;5+Supuestos!$F$22),Supuestos!$F$19*Supuestos!$F$20*Supuestos!$F$21/Supuestos!$F$22,0)</f>
        <v>60750</v>
      </c>
      <c r="I17" s="20" t="n">
        <f aca="false">IF(AND(I$5&gt;=5,I$5&lt;5+Supuestos!$F$22),Supuestos!$F$19*Supuestos!$F$20*Supuestos!$F$21/Supuestos!$F$22,0)</f>
        <v>60750</v>
      </c>
      <c r="J17" s="20" t="n">
        <f aca="false">IF(AND(J$5&gt;=5,J$5&lt;5+Supuestos!$F$22),Supuestos!$F$19*Supuestos!$F$20*Supuestos!$F$21/Supuestos!$F$22,0)</f>
        <v>60750</v>
      </c>
      <c r="K17" s="20" t="n">
        <f aca="false">IF(AND(K$5&gt;=5,K$5&lt;5+Supuestos!$F$22),Supuestos!$F$19*Supuestos!$F$20*Supuestos!$F$21/Supuestos!$F$22,0)</f>
        <v>60750</v>
      </c>
      <c r="L17" s="20" t="n">
        <f aca="false">IF(AND(L$5&gt;=5,L$5&lt;5+Supuestos!$F$22),Supuestos!$F$19*Supuestos!$F$20*Supuestos!$F$21/Supuestos!$F$22,0)</f>
        <v>60750</v>
      </c>
      <c r="M17" s="20" t="n">
        <f aca="false">IF(AND(M$5&gt;=5,M$5&lt;5+Supuestos!$F$22),Supuestos!$F$19*Supuestos!$F$20*Supuestos!$F$21/Supuestos!$F$22,0)</f>
        <v>60750</v>
      </c>
      <c r="N17" s="20" t="n">
        <f aca="false">IF(AND(N$5&gt;=5,N$5&lt;5+Supuestos!$F$22),Supuestos!$F$19*Supuestos!$F$20*Supuestos!$F$21/Supuestos!$F$22,0)</f>
        <v>60750</v>
      </c>
      <c r="O17" s="21" t="n">
        <f aca="false">SUM(C17:N17)</f>
        <v>486000</v>
      </c>
    </row>
    <row r="18" customFormat="false" ht="15" hidden="false" customHeight="false" outlineLevel="0" collapsed="false">
      <c r="A18" s="3" t="s">
        <v>93</v>
      </c>
      <c r="C18" s="22" t="n">
        <f aca="false">SUM(C7:C17)</f>
        <v>624925</v>
      </c>
      <c r="D18" s="22" t="n">
        <f aca="false">SUM(D7:D17)</f>
        <v>753175</v>
      </c>
      <c r="E18" s="22" t="n">
        <f aca="false">SUM(E7:E17)</f>
        <v>743050</v>
      </c>
      <c r="F18" s="22" t="n">
        <f aca="false">SUM(F7:F17)</f>
        <v>767800</v>
      </c>
      <c r="G18" s="22" t="n">
        <f aca="false">SUM(G7:G17)</f>
        <v>858300</v>
      </c>
      <c r="H18" s="22" t="n">
        <f aca="false">SUM(H7:H17)</f>
        <v>765300</v>
      </c>
      <c r="I18" s="22" t="n">
        <f aca="false">SUM(I7:I17)</f>
        <v>765300</v>
      </c>
      <c r="J18" s="22" t="n">
        <f aca="false">SUM(J7:J17)</f>
        <v>781050</v>
      </c>
      <c r="K18" s="22" t="n">
        <f aca="false">SUM(K7:K17)</f>
        <v>765300</v>
      </c>
      <c r="L18" s="22" t="n">
        <f aca="false">SUM(L7:L17)</f>
        <v>765300</v>
      </c>
      <c r="M18" s="22" t="n">
        <f aca="false">SUM(M7:M17)</f>
        <v>872050</v>
      </c>
      <c r="N18" s="22" t="n">
        <f aca="false">SUM(N7:N17)</f>
        <v>765300</v>
      </c>
      <c r="O18" s="22" t="n">
        <f aca="false">SUM(O7:O17)</f>
        <v>9226850</v>
      </c>
    </row>
    <row r="20" customFormat="false" ht="15" hidden="false" customHeight="false" outlineLevel="0" collapsed="false">
      <c r="A20" s="18" t="s">
        <v>94</v>
      </c>
    </row>
    <row r="21" customFormat="false" ht="15" hidden="false" customHeight="false" outlineLevel="0" collapsed="false">
      <c r="A21" s="0" t="s">
        <v>51</v>
      </c>
      <c r="B21" s="19" t="s">
        <v>95</v>
      </c>
      <c r="C21" s="20" t="n">
        <f aca="false">Supuestos!$F$23</f>
        <v>390000</v>
      </c>
      <c r="D21" s="20" t="n">
        <f aca="false">Supuestos!$F$23</f>
        <v>390000</v>
      </c>
      <c r="E21" s="20" t="n">
        <f aca="false">Supuestos!$F$23</f>
        <v>390000</v>
      </c>
      <c r="F21" s="20" t="n">
        <f aca="false">Supuestos!$F$23</f>
        <v>390000</v>
      </c>
      <c r="G21" s="20" t="n">
        <f aca="false">Supuestos!$F$23</f>
        <v>390000</v>
      </c>
      <c r="H21" s="20" t="n">
        <f aca="false">Supuestos!$F$23</f>
        <v>390000</v>
      </c>
      <c r="I21" s="20" t="n">
        <f aca="false">Supuestos!$F$23</f>
        <v>390000</v>
      </c>
      <c r="J21" s="20" t="n">
        <f aca="false">Supuestos!$F$23</f>
        <v>390000</v>
      </c>
      <c r="K21" s="20" t="n">
        <f aca="false">Supuestos!$F$23</f>
        <v>390000</v>
      </c>
      <c r="L21" s="20" t="n">
        <f aca="false">Supuestos!$F$23</f>
        <v>390000</v>
      </c>
      <c r="M21" s="20" t="n">
        <f aca="false">Supuestos!$F$23</f>
        <v>390000</v>
      </c>
      <c r="N21" s="20" t="n">
        <f aca="false">Supuestos!$F$23</f>
        <v>390000</v>
      </c>
      <c r="O21" s="23" t="n">
        <f aca="false">SUM(C21:N21)</f>
        <v>4680000</v>
      </c>
    </row>
    <row r="22" customFormat="false" ht="15" hidden="false" customHeight="false" outlineLevel="0" collapsed="false">
      <c r="A22" s="0" t="s">
        <v>96</v>
      </c>
      <c r="B22" s="19" t="s">
        <v>97</v>
      </c>
      <c r="C22" s="24" t="n">
        <v>0</v>
      </c>
      <c r="D22" s="24" t="n">
        <v>0</v>
      </c>
      <c r="E22" s="24" t="n">
        <v>0</v>
      </c>
      <c r="F22" s="24" t="n">
        <v>0</v>
      </c>
      <c r="G22" s="24" t="n">
        <v>0</v>
      </c>
      <c r="H22" s="24" t="n">
        <v>0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0</v>
      </c>
      <c r="N22" s="24" t="n">
        <v>0</v>
      </c>
      <c r="O22" s="23" t="n">
        <f aca="false">SUM(C22:N22)</f>
        <v>0</v>
      </c>
    </row>
    <row r="23" customFormat="false" ht="15" hidden="false" customHeight="false" outlineLevel="0" collapsed="false">
      <c r="A23" s="3" t="s">
        <v>98</v>
      </c>
      <c r="C23" s="22" t="n">
        <f aca="false">C21+C22</f>
        <v>390000</v>
      </c>
      <c r="D23" s="22" t="n">
        <f aca="false">D21+D22</f>
        <v>390000</v>
      </c>
      <c r="E23" s="22" t="n">
        <f aca="false">E21+E22</f>
        <v>390000</v>
      </c>
      <c r="F23" s="22" t="n">
        <f aca="false">F21+F22</f>
        <v>390000</v>
      </c>
      <c r="G23" s="22" t="n">
        <f aca="false">G21+G22</f>
        <v>390000</v>
      </c>
      <c r="H23" s="22" t="n">
        <f aca="false">H21+H22</f>
        <v>390000</v>
      </c>
      <c r="I23" s="22" t="n">
        <f aca="false">I21+I22</f>
        <v>390000</v>
      </c>
      <c r="J23" s="22" t="n">
        <f aca="false">J21+J22</f>
        <v>390000</v>
      </c>
      <c r="K23" s="22" t="n">
        <f aca="false">K21+K22</f>
        <v>390000</v>
      </c>
      <c r="L23" s="22" t="n">
        <f aca="false">L21+L22</f>
        <v>390000</v>
      </c>
      <c r="M23" s="22" t="n">
        <f aca="false">M21+M22</f>
        <v>390000</v>
      </c>
      <c r="N23" s="22" t="n">
        <f aca="false">N21+N22</f>
        <v>390000</v>
      </c>
      <c r="O23" s="22" t="n">
        <f aca="false">O21+O22</f>
        <v>4680000</v>
      </c>
    </row>
    <row r="25" customFormat="false" ht="15" hidden="false" customHeight="false" outlineLevel="0" collapsed="false">
      <c r="A25" s="3" t="s">
        <v>99</v>
      </c>
      <c r="C25" s="22" t="n">
        <f aca="false">C18-C23</f>
        <v>234925</v>
      </c>
      <c r="D25" s="22" t="n">
        <f aca="false">D18-D23</f>
        <v>363175</v>
      </c>
      <c r="E25" s="22" t="n">
        <f aca="false">E18-E23</f>
        <v>353050</v>
      </c>
      <c r="F25" s="22" t="n">
        <f aca="false">F18-F23</f>
        <v>377800</v>
      </c>
      <c r="G25" s="22" t="n">
        <f aca="false">G18-G23</f>
        <v>468300</v>
      </c>
      <c r="H25" s="22" t="n">
        <f aca="false">H18-H23</f>
        <v>375300</v>
      </c>
      <c r="I25" s="22" t="n">
        <f aca="false">I18-I23</f>
        <v>375300</v>
      </c>
      <c r="J25" s="22" t="n">
        <f aca="false">J18-J23</f>
        <v>391050</v>
      </c>
      <c r="K25" s="22" t="n">
        <f aca="false">K18-K23</f>
        <v>375300</v>
      </c>
      <c r="L25" s="22" t="n">
        <f aca="false">L18-L23</f>
        <v>375300</v>
      </c>
      <c r="M25" s="22" t="n">
        <f aca="false">M18-M23</f>
        <v>482050</v>
      </c>
      <c r="N25" s="22" t="n">
        <f aca="false">N18-N23</f>
        <v>375300</v>
      </c>
      <c r="O25" s="22" t="n">
        <f aca="false">O18-O23</f>
        <v>4546850</v>
      </c>
    </row>
    <row r="26" customFormat="false" ht="15" hidden="false" customHeight="false" outlineLevel="0" collapsed="false">
      <c r="A26" s="2" t="s">
        <v>100</v>
      </c>
      <c r="C26" s="23" t="n">
        <f aca="false">C25</f>
        <v>234925</v>
      </c>
      <c r="D26" s="23" t="n">
        <f aca="false">C26+D25</f>
        <v>598100</v>
      </c>
      <c r="E26" s="23" t="n">
        <f aca="false">D26+E25</f>
        <v>951150</v>
      </c>
      <c r="F26" s="23" t="n">
        <f aca="false">E26+F25</f>
        <v>1328950</v>
      </c>
      <c r="G26" s="23" t="n">
        <f aca="false">F26+G25</f>
        <v>1797250</v>
      </c>
      <c r="H26" s="23" t="n">
        <f aca="false">G26+H25</f>
        <v>2172550</v>
      </c>
      <c r="I26" s="23" t="n">
        <f aca="false">H26+I25</f>
        <v>2547850</v>
      </c>
      <c r="J26" s="23" t="n">
        <f aca="false">I26+J25</f>
        <v>2938900</v>
      </c>
      <c r="K26" s="23" t="n">
        <f aca="false">J26+K25</f>
        <v>3314200</v>
      </c>
      <c r="L26" s="23" t="n">
        <f aca="false">K26+L25</f>
        <v>3689500</v>
      </c>
      <c r="M26" s="23" t="n">
        <f aca="false">L26+M25</f>
        <v>4171550</v>
      </c>
      <c r="N26" s="23" t="n">
        <f aca="false">M26+N25</f>
        <v>4546850</v>
      </c>
    </row>
    <row r="27" customFormat="false" ht="15" hidden="false" customHeight="false" outlineLevel="0" collapsed="false">
      <c r="A27" s="3" t="s">
        <v>101</v>
      </c>
      <c r="B27" s="19" t="s">
        <v>102</v>
      </c>
      <c r="C27" s="22" t="n">
        <f aca="false">Supuestos!$F$24+C26</f>
        <v>234925</v>
      </c>
      <c r="D27" s="22" t="n">
        <f aca="false">Supuestos!$F$24+D26</f>
        <v>598100</v>
      </c>
      <c r="E27" s="22" t="n">
        <f aca="false">Supuestos!$F$24+E26</f>
        <v>951150</v>
      </c>
      <c r="F27" s="22" t="n">
        <f aca="false">Supuestos!$F$24+F26</f>
        <v>1328950</v>
      </c>
      <c r="G27" s="22" t="n">
        <f aca="false">Supuestos!$F$24+G26</f>
        <v>1797250</v>
      </c>
      <c r="H27" s="22" t="n">
        <f aca="false">Supuestos!$F$24+H26</f>
        <v>2172550</v>
      </c>
      <c r="I27" s="22" t="n">
        <f aca="false">Supuestos!$F$24+I26</f>
        <v>2547850</v>
      </c>
      <c r="J27" s="22" t="n">
        <f aca="false">Supuestos!$F$24+J26</f>
        <v>2938900</v>
      </c>
      <c r="K27" s="22" t="n">
        <f aca="false">Supuestos!$F$24+K26</f>
        <v>3314200</v>
      </c>
      <c r="L27" s="22" t="n">
        <f aca="false">Supuestos!$F$24+L26</f>
        <v>3689500</v>
      </c>
      <c r="M27" s="22" t="n">
        <f aca="false">Supuestos!$F$24+M26</f>
        <v>4171550</v>
      </c>
      <c r="N27" s="22" t="n">
        <f aca="false">Supuestos!$F$24+N26</f>
        <v>4546850</v>
      </c>
    </row>
    <row r="28" customFormat="false" ht="15" hidden="false" customHeight="false" outlineLevel="0" collapsed="false">
      <c r="A28" s="0" t="s">
        <v>103</v>
      </c>
      <c r="B28" s="19" t="s">
        <v>104</v>
      </c>
      <c r="C28" s="25" t="n">
        <f aca="false">IFERROR(C27/C23,0)</f>
        <v>0.602371794871795</v>
      </c>
      <c r="D28" s="25" t="n">
        <f aca="false">IFERROR(D27/D23,0)</f>
        <v>1.53358974358974</v>
      </c>
      <c r="E28" s="25" t="n">
        <f aca="false">IFERROR(E27/E23,0)</f>
        <v>2.43884615384615</v>
      </c>
      <c r="F28" s="25" t="n">
        <f aca="false">IFERROR(F27/F23,0)</f>
        <v>3.4075641025641</v>
      </c>
      <c r="G28" s="25" t="n">
        <f aca="false">IFERROR(G27/G23,0)</f>
        <v>4.60833333333333</v>
      </c>
      <c r="H28" s="25" t="n">
        <f aca="false">IFERROR(H27/H23,0)</f>
        <v>5.57064102564103</v>
      </c>
      <c r="I28" s="25" t="n">
        <f aca="false">IFERROR(I27/I23,0)</f>
        <v>6.53294871794872</v>
      </c>
      <c r="J28" s="25" t="n">
        <f aca="false">IFERROR(J27/J23,0)</f>
        <v>7.53564102564103</v>
      </c>
      <c r="K28" s="25" t="n">
        <f aca="false">IFERROR(K27/K23,0)</f>
        <v>8.49794871794872</v>
      </c>
      <c r="L28" s="25" t="n">
        <f aca="false">IFERROR(L27/L23,0)</f>
        <v>9.46025641025641</v>
      </c>
      <c r="M28" s="25" t="n">
        <f aca="false">IFERROR(M27/M23,0)</f>
        <v>10.6962820512821</v>
      </c>
      <c r="N28" s="25" t="n">
        <f aca="false">IFERROR(N27/N23,0)</f>
        <v>11.6585897435897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4" t="s">
        <v>106</v>
      </c>
    </row>
    <row r="4" customFormat="false" ht="15" hidden="false" customHeight="false" outlineLevel="0" collapsed="false">
      <c r="A4" s="6" t="s">
        <v>54</v>
      </c>
      <c r="B4" s="6" t="s">
        <v>24</v>
      </c>
      <c r="C4" s="6" t="s">
        <v>25</v>
      </c>
      <c r="D4" s="6" t="s">
        <v>26</v>
      </c>
    </row>
    <row r="5" customFormat="false" ht="15" hidden="false" customHeight="false" outlineLevel="0" collapsed="false">
      <c r="A5" s="2" t="s">
        <v>71</v>
      </c>
      <c r="B5" s="20" t="n">
        <f aca="false">12*Supuestos!$C$7</f>
        <v>6720000</v>
      </c>
      <c r="C5" s="20" t="n">
        <f aca="false">12*Supuestos!$D$7</f>
        <v>7200000</v>
      </c>
      <c r="D5" s="20" t="n">
        <f aca="false">12*Supuestos!$E$7</f>
        <v>7560000</v>
      </c>
    </row>
    <row r="6" customFormat="false" ht="15" hidden="false" customHeight="false" outlineLevel="0" collapsed="false">
      <c r="A6" s="2" t="s">
        <v>73</v>
      </c>
      <c r="B6" s="20" t="n">
        <f aca="false">12*Supuestos!$C$8*Supuestos!$C$9</f>
        <v>177600</v>
      </c>
      <c r="C6" s="20" t="n">
        <f aca="false">12*Supuestos!$D$8*Supuestos!$D$9</f>
        <v>177600</v>
      </c>
      <c r="D6" s="20" t="n">
        <f aca="false">12*Supuestos!$E$8*Supuestos!$E$9</f>
        <v>177600</v>
      </c>
    </row>
    <row r="7" customFormat="false" ht="15" hidden="false" customHeight="false" outlineLevel="0" collapsed="false">
      <c r="A7" s="2" t="s">
        <v>107</v>
      </c>
      <c r="B7" s="20" t="n">
        <f aca="false">Supuestos!$C$10*(Supuestos!$C$12+11*Supuestos!$C$11+3*Supuestos!$C$13)</f>
        <v>985500</v>
      </c>
      <c r="C7" s="20" t="n">
        <f aca="false">Supuestos!$D$10*(Supuestos!$D$12+11*Supuestos!$D$11+3*Supuestos!$D$13)</f>
        <v>1478250</v>
      </c>
      <c r="D7" s="20" t="n">
        <f aca="false">Supuestos!$E$10*(Supuestos!$E$12+11*Supuestos!$E$11+3*Supuestos!$E$13)</f>
        <v>1971000</v>
      </c>
    </row>
    <row r="8" customFormat="false" ht="15" hidden="false" customHeight="false" outlineLevel="0" collapsed="false">
      <c r="A8" s="2" t="s">
        <v>108</v>
      </c>
      <c r="B8" s="20" t="n">
        <f aca="false">-8*Supuestos!$C$14*Supuestos!$C$15</f>
        <v>-2052000</v>
      </c>
      <c r="C8" s="20" t="n">
        <f aca="false">-8*Supuestos!$D$14*Supuestos!$D$15</f>
        <v>-1584000</v>
      </c>
      <c r="D8" s="20" t="n">
        <f aca="false">-8*Supuestos!$E$14*Supuestos!$E$15</f>
        <v>-1224000</v>
      </c>
    </row>
    <row r="9" customFormat="false" ht="15" hidden="false" customHeight="false" outlineLevel="0" collapsed="false">
      <c r="A9" s="2" t="s">
        <v>109</v>
      </c>
      <c r="B9" s="20" t="n">
        <f aca="false">Supuestos!$C$16*(Supuestos!$C$12+8*Supuestos!$C$17+Supuestos!$C$13)</f>
        <v>992000</v>
      </c>
      <c r="C9" s="20" t="n">
        <f aca="false">Supuestos!$D$16*(Supuestos!$D$12+8*Supuestos!$D$17+Supuestos!$D$13)</f>
        <v>1364000</v>
      </c>
      <c r="D9" s="20" t="n">
        <f aca="false">Supuestos!$E$16*(Supuestos!$E$12+8*Supuestos!$E$17+Supuestos!$E$13)</f>
        <v>1736000</v>
      </c>
    </row>
    <row r="10" customFormat="false" ht="15" hidden="false" customHeight="false" outlineLevel="0" collapsed="false">
      <c r="A10" s="2" t="s">
        <v>89</v>
      </c>
      <c r="B10" s="20" t="n">
        <f aca="false">2*Supuestos!$C$18*Supuestos!$C$13</f>
        <v>105000</v>
      </c>
      <c r="C10" s="20" t="n">
        <f aca="false">2*Supuestos!$D$18*Supuestos!$D$13</f>
        <v>105000</v>
      </c>
      <c r="D10" s="20" t="n">
        <f aca="false">2*Supuestos!$E$18*Supuestos!$E$13</f>
        <v>105000</v>
      </c>
    </row>
    <row r="11" customFormat="false" ht="15" hidden="false" customHeight="false" outlineLevel="0" collapsed="false">
      <c r="A11" s="2" t="s">
        <v>110</v>
      </c>
      <c r="B11" s="20" t="n">
        <f aca="false">Supuestos!$C$19*Supuestos!$C$20*Supuestos!$C$21*MIN(1,8/Supuestos!$C$22)</f>
        <v>303750</v>
      </c>
      <c r="C11" s="20" t="n">
        <f aca="false">Supuestos!$D$19*Supuestos!$D$20*Supuestos!$D$21*MIN(1,8/Supuestos!$D$22)</f>
        <v>486000</v>
      </c>
      <c r="D11" s="20" t="n">
        <f aca="false">Supuestos!$E$19*Supuestos!$E$20*Supuestos!$E$21*MIN(1,8/Supuestos!$E$22)</f>
        <v>668250</v>
      </c>
    </row>
    <row r="12" customFormat="false" ht="15" hidden="false" customHeight="false" outlineLevel="0" collapsed="false">
      <c r="A12" s="3" t="s">
        <v>93</v>
      </c>
      <c r="B12" s="22" t="n">
        <f aca="false">SUM(B5:B11)</f>
        <v>7231850</v>
      </c>
      <c r="C12" s="22" t="n">
        <f aca="false">SUM(C5:C11)</f>
        <v>9226850</v>
      </c>
      <c r="D12" s="22" t="n">
        <f aca="false">SUM(D5:D11)</f>
        <v>10993850</v>
      </c>
    </row>
    <row r="13" customFormat="false" ht="15" hidden="false" customHeight="false" outlineLevel="0" collapsed="false">
      <c r="A13" s="2" t="s">
        <v>111</v>
      </c>
      <c r="B13" s="20" t="n">
        <f aca="false">12*Supuestos!$C$23</f>
        <v>5148000</v>
      </c>
      <c r="C13" s="20" t="n">
        <f aca="false">12*Supuestos!$D$23</f>
        <v>4680000</v>
      </c>
      <c r="D13" s="20" t="n">
        <f aca="false">12*Supuestos!$E$23</f>
        <v>4440000</v>
      </c>
    </row>
    <row r="14" customFormat="false" ht="15" hidden="false" customHeight="false" outlineLevel="0" collapsed="false">
      <c r="A14" s="3" t="s">
        <v>112</v>
      </c>
      <c r="B14" s="22" t="n">
        <f aca="false">B12-B13</f>
        <v>2083850</v>
      </c>
      <c r="C14" s="22" t="n">
        <f aca="false">C12-C13</f>
        <v>4546850</v>
      </c>
      <c r="D14" s="22" t="n">
        <f aca="false">D12-D13</f>
        <v>6553850</v>
      </c>
    </row>
    <row r="15" customFormat="false" ht="15" hidden="false" customHeight="false" outlineLevel="0" collapsed="false">
      <c r="A15" s="2" t="s">
        <v>113</v>
      </c>
      <c r="B15" s="26" t="n">
        <f aca="false">IFERROR(B14/B12,0)</f>
        <v>0.288148952204484</v>
      </c>
      <c r="C15" s="26" t="n">
        <f aca="false">IFERROR(C14/C12,0)</f>
        <v>0.492784644813777</v>
      </c>
      <c r="D15" s="26" t="n">
        <f aca="false">IFERROR(D14/D12,0)</f>
        <v>0.596137840701847</v>
      </c>
    </row>
    <row r="17" customFormat="false" ht="15" hidden="false" customHeight="false" outlineLevel="0" collapsed="false">
      <c r="A17" s="27" t="s">
        <v>114</v>
      </c>
      <c r="B17" s="22" t="n">
        <f aca="false">INDEX(B12:D12,1,Supuestos!$B$4)-Proyección!O18</f>
        <v>0</v>
      </c>
    </row>
    <row r="19" customFormat="false" ht="15" hidden="false" customHeight="false" outlineLevel="0" collapsed="false">
      <c r="A19" s="3" t="s">
        <v>115</v>
      </c>
    </row>
    <row r="20" customFormat="false" ht="15" hidden="false" customHeight="false" outlineLevel="0" collapsed="false">
      <c r="A20" s="0" t="s">
        <v>116</v>
      </c>
      <c r="B20" s="20" t="n">
        <f aca="false">Supuestos!$D$12+11*Supuestos!$D$11+3*Supuestos!$D$13</f>
        <v>32850</v>
      </c>
    </row>
    <row r="21" customFormat="false" ht="15" hidden="false" customHeight="false" outlineLevel="0" collapsed="false">
      <c r="A21" s="0" t="s">
        <v>117</v>
      </c>
      <c r="B21" s="20" t="n">
        <f aca="false">Supuestos!$D$12+8*Supuestos!$D$17+Supuestos!$D$13</f>
        <v>12400</v>
      </c>
    </row>
    <row r="22" customFormat="false" ht="15" hidden="false" customHeight="false" outlineLevel="0" collapsed="false">
      <c r="A22" s="0" t="s">
        <v>118</v>
      </c>
      <c r="B22" s="20" t="n">
        <f aca="false">8*Supuestos!$D$15</f>
        <v>14400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2026-09-23T21:50:04Z</dcterms:created>
  <dc:creator>openpyxl</dc:creator>
  <dc:description/>
  <dc:language>en-US</dc:language>
  <cp:lastModifiedBy/>
  <dcterms:modified xsi:type="dcterms:W3CDTF">2026-09-23T21:50:05Z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